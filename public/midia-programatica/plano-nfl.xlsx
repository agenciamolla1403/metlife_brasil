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" sheetId="1" r:id="rId5"/>
    <sheet state="visible" name="PLAY" sheetId="2" r:id="rId6"/>
    <sheet state="visible" name="START" sheetId="3" r:id="rId7"/>
    <sheet state="visible" name="BASIC" sheetId="4" r:id="rId8"/>
    <sheet state="hidden" name="Pedido de Inserção" sheetId="5" r:id="rId9"/>
    <sheet state="visible" name="Audiências" sheetId="6" r:id="rId10"/>
    <sheet state="visible" name="Wishlist de Sites" sheetId="7" r:id="rId11"/>
  </sheets>
  <definedNames/>
  <calcPr/>
</workbook>
</file>

<file path=xl/sharedStrings.xml><?xml version="1.0" encoding="utf-8"?>
<sst xmlns="http://schemas.openxmlformats.org/spreadsheetml/2006/main" count="1246" uniqueCount="395">
  <si>
    <t>Agência</t>
  </si>
  <si>
    <t>Ag. Molla</t>
  </si>
  <si>
    <t>Anunciante</t>
  </si>
  <si>
    <t>Metlife</t>
  </si>
  <si>
    <t>Nome da Campanha</t>
  </si>
  <si>
    <t>Campanha NFL</t>
  </si>
  <si>
    <t>Investimento Líquido Total</t>
  </si>
  <si>
    <t>Investimento Total</t>
  </si>
  <si>
    <t>Investimento Bruto Total</t>
  </si>
  <si>
    <t>Investimento Mensal</t>
  </si>
  <si>
    <t>Brand Safety/Brand Suitability | O algoritmo de Brand Safety protege a marca de 95% dos riscos de exposição a conteúdos prejudiciais. Com Brand Suitability, além de evitar conteúdos impróprios, os anúncios são posicionados em contextos que refletem os valores da marca, garantindo uma comunicação segura e alinhada.</t>
  </si>
  <si>
    <t>Investimento Líquido Mensal</t>
  </si>
  <si>
    <t>Investimento Bruto Mensal</t>
  </si>
  <si>
    <t>PROGRAMÁTICA DISPLAY</t>
  </si>
  <si>
    <t>OBJETIVO DA CAMPANHA</t>
  </si>
  <si>
    <t>ESTRATÉGIAS - CANAIS</t>
  </si>
  <si>
    <t>DEVICE</t>
  </si>
  <si>
    <t>FORMATOS</t>
  </si>
  <si>
    <t>TARGET</t>
  </si>
  <si>
    <t>INTERESSES</t>
  </si>
  <si>
    <t>PRAÇA</t>
  </si>
  <si>
    <t>PERÍODO/MESES</t>
  </si>
  <si>
    <t>COMPRA</t>
  </si>
  <si>
    <t>CUSTO</t>
  </si>
  <si>
    <t>BRUTO</t>
  </si>
  <si>
    <t>LÍQUIDO</t>
  </si>
  <si>
    <t>IMPRESSÕES</t>
  </si>
  <si>
    <t>CTR</t>
  </si>
  <si>
    <t>CLIQUES</t>
  </si>
  <si>
    <t>VIEWABILITY</t>
  </si>
  <si>
    <t>Brandformance</t>
  </si>
  <si>
    <t xml:space="preserve">3rd Party + Affinity + In Market </t>
  </si>
  <si>
    <t>Desktop e Mobile</t>
  </si>
  <si>
    <t>Display IAB</t>
  </si>
  <si>
    <t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t>
  </si>
  <si>
    <t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t>
  </si>
  <si>
    <t>Brasil</t>
  </si>
  <si>
    <t>CPM</t>
  </si>
  <si>
    <t>B3 Advanced</t>
  </si>
  <si>
    <t>Wishlist + Audience</t>
  </si>
  <si>
    <t>Contextual + Audience</t>
  </si>
  <si>
    <t>Keywords + Wishlist</t>
  </si>
  <si>
    <t>Custom Affinity + Custom Intent</t>
  </si>
  <si>
    <t>Geolocalização | Livetrack</t>
  </si>
  <si>
    <t>Usuários que estão no raio de interesse, durante o jogo da NFL</t>
  </si>
  <si>
    <t>Raio de 1 Km ao redor do Maracanã</t>
  </si>
  <si>
    <t>Geolocalização | Geotrack</t>
  </si>
  <si>
    <t>Usuários que estiveram no raio de interesse, durante o jogo da NFL</t>
  </si>
  <si>
    <t>PROGRAMÁTICA VÍDEO</t>
  </si>
  <si>
    <t>VTR</t>
  </si>
  <si>
    <t>VIEWS</t>
  </si>
  <si>
    <t>Youtube</t>
  </si>
  <si>
    <t>TrueView In Stream</t>
  </si>
  <si>
    <t>Vídeo IAB</t>
  </si>
  <si>
    <t xml:space="preserve">PROGRAMÁTICA FORMATOS ESPECIAIS	</t>
  </si>
  <si>
    <t>Disney+</t>
  </si>
  <si>
    <t>CTV, Desktop e Mobile</t>
  </si>
  <si>
    <t>Vídeo 15s</t>
  </si>
  <si>
    <t>Netflix</t>
  </si>
  <si>
    <t>HBO Max</t>
  </si>
  <si>
    <t>GloboPlay</t>
  </si>
  <si>
    <t>Rich Media</t>
  </si>
  <si>
    <t>Display Interativo Personalizado</t>
  </si>
  <si>
    <t>-%</t>
  </si>
  <si>
    <t>PROGRAMÁTICA NATIVE ADS</t>
  </si>
  <si>
    <t>Native 3.0</t>
  </si>
  <si>
    <t>Anúncios Nativos com otimização por inventário</t>
  </si>
  <si>
    <t>CPC</t>
  </si>
  <si>
    <t>PROGRAMÁTICA PUSH NOTIFICATION</t>
  </si>
  <si>
    <t>Push Notification | Geotrack</t>
  </si>
  <si>
    <t>Mobile</t>
  </si>
  <si>
    <t>Imagem, logo e texto</t>
  </si>
  <si>
    <t>CPD</t>
  </si>
  <si>
    <t>Push Notification | Livetrack</t>
  </si>
  <si>
    <t>-</t>
  </si>
  <si>
    <t>VÍDEO VIEWS</t>
  </si>
  <si>
    <t>MENSAL</t>
  </si>
  <si>
    <t>TOTAL</t>
  </si>
  <si>
    <t>CALCULADORA DE VOLUME - DISPLAY</t>
  </si>
  <si>
    <t>Inicio</t>
  </si>
  <si>
    <t>Fim</t>
  </si>
  <si>
    <t>Dias</t>
  </si>
  <si>
    <t>Invest/Dia</t>
  </si>
  <si>
    <t>Impressões por dia</t>
  </si>
  <si>
    <t>Linhas Criativas</t>
  </si>
  <si>
    <t>Formatos</t>
  </si>
  <si>
    <t>Peças</t>
  </si>
  <si>
    <t>Invest/Peça/ Dia</t>
  </si>
  <si>
    <t>Impressões/Peça/Dia</t>
  </si>
  <si>
    <t>Praças ou Geolocalização</t>
  </si>
  <si>
    <t>Praças</t>
  </si>
  <si>
    <t>Invest/ Peça /Praça/Dia</t>
  </si>
  <si>
    <t>Impressões/Peça/Praça/Dia</t>
  </si>
  <si>
    <t>SLA DA CAMPANHA</t>
  </si>
  <si>
    <t>CAMPANHA - ENTERPRISE 3</t>
  </si>
  <si>
    <t>Alinhamento com o time de CS</t>
  </si>
  <si>
    <t>Até 8 horas</t>
  </si>
  <si>
    <t>Quantidade de Peças</t>
  </si>
  <si>
    <t>Troca de Peças</t>
  </si>
  <si>
    <t>2 por mês</t>
  </si>
  <si>
    <t>Tempo de Subida</t>
  </si>
  <si>
    <t>48 horas</t>
  </si>
  <si>
    <t>Atualização de Relatório</t>
  </si>
  <si>
    <t>Diário</t>
  </si>
  <si>
    <t>Análise de BI</t>
  </si>
  <si>
    <t>Semanal</t>
  </si>
  <si>
    <t>Análise de GA</t>
  </si>
  <si>
    <t>Quinzenal</t>
  </si>
  <si>
    <t>CAMPANHA - ENTERPRISE 1</t>
  </si>
  <si>
    <t>Até 4 horas</t>
  </si>
  <si>
    <t>24+</t>
  </si>
  <si>
    <t>CAMPANHA - ENTERPRISE 2</t>
  </si>
  <si>
    <t>4 por mês</t>
  </si>
  <si>
    <t>24 horas</t>
  </si>
  <si>
    <t>3 por mês</t>
  </si>
  <si>
    <t>CAMPANHA - STARTER 6</t>
  </si>
  <si>
    <t>Até 24 horas</t>
  </si>
  <si>
    <t>72 horas</t>
  </si>
  <si>
    <t>Adsplay Mídia Ltda</t>
  </si>
  <si>
    <t>AUDIÊNCIAS — METLIFE | Campanha NFL | Mídia Programática DV360</t>
  </si>
  <si>
    <t>PI NÚMERO</t>
  </si>
  <si>
    <t>CNPJ 29.835.275/0001-27</t>
  </si>
  <si>
    <t>Mensal</t>
  </si>
  <si>
    <t>Segmentos de audiência para ativação via DV360 | Foco: NFL, New York Giants e New York Jets | ADSPLAY 2026</t>
  </si>
  <si>
    <t>#</t>
  </si>
  <si>
    <t>Segmento / Audiência</t>
  </si>
  <si>
    <t>Tipo</t>
  </si>
  <si>
    <t>Fonte / DMP</t>
  </si>
  <si>
    <t>Descrição do Público</t>
  </si>
  <si>
    <t>Prioridade</t>
  </si>
  <si>
    <t>1. 3RD PARTY — DEMOGRÁFICO E PROFISSIONAL</t>
  </si>
  <si>
    <t>WISHLIST DE SITES — METLIFE | Campanha NFL | Mídia Programática DV360</t>
  </si>
  <si>
    <t>Rua Fernão Dias, 110, Pinheiros - SP - CEP 05427-000</t>
  </si>
  <si>
    <t>Millennials e Gen Z Alta Renda (18–39)</t>
  </si>
  <si>
    <t>11 3031 0240</t>
  </si>
  <si>
    <t>3rd Party</t>
  </si>
  <si>
    <t>Serasa Experian</t>
  </si>
  <si>
    <t>Homens e mulheres 18–39 anos, classe A/B, com padrão de consumo digital elevado — perfil-base da campanha.</t>
  </si>
  <si>
    <t>EMITIDO EM:</t>
  </si>
  <si>
    <t>Alta</t>
  </si>
  <si>
    <t>Domínios para targeting de inventário via Google AdX | Foco: NFL, New York Giants e New York Jets | ADSPLAY 2026</t>
  </si>
  <si>
    <t>Site / Domínio</t>
  </si>
  <si>
    <t>Categoria</t>
  </si>
  <si>
    <t>Perfil da Audiência</t>
  </si>
  <si>
    <t>Relevância para o Target</t>
  </si>
  <si>
    <t>Executivos, Gestores e Especialistas</t>
  </si>
  <si>
    <t>1. NFL OFICIAL E PORTAIS GLOBAIS</t>
  </si>
  <si>
    <t>PEDIDO DE INSERÇÃO</t>
  </si>
  <si>
    <t>Navegg</t>
  </si>
  <si>
    <t>Profissionais liberais e cargos de liderança em TI, finanças e negócios — alinhado ao perfil profissional do briefing.</t>
  </si>
  <si>
    <t>nfl.com</t>
  </si>
  <si>
    <t>NFL Oficial</t>
  </si>
  <si>
    <t>Torcedores e fãs de NFL em geral</t>
  </si>
  <si>
    <t>Site oficial da liga, cobertura completa de todos os times e jogos.</t>
  </si>
  <si>
    <t>giants.com</t>
  </si>
  <si>
    <t>Time Oficial</t>
  </si>
  <si>
    <t>Torcedores do New York Giants</t>
  </si>
  <si>
    <t>Site oficial do New York Giants — audiência 100% aderente ao time foco.</t>
  </si>
  <si>
    <t>newyorkjets.com</t>
  </si>
  <si>
    <t>Torcedores do New York Jets</t>
  </si>
  <si>
    <t>Site oficial do New York Jets — audiência 100% aderente ao time foco.</t>
  </si>
  <si>
    <t>espn.com</t>
  </si>
  <si>
    <t>Classe A/B Urbana Digitalizada</t>
  </si>
  <si>
    <t>Esportes Global</t>
  </si>
  <si>
    <t>Fãs de esportes americanos e NFL</t>
  </si>
  <si>
    <t>Maior portal de esportes dos EUA, com cobertura intensa de NFL, Giants e Jets.</t>
  </si>
  <si>
    <t>Boa Vista</t>
  </si>
  <si>
    <t>Consumidores urbanos de alto poder aquisitivo, altamente conectados e consumidores de cultura global.</t>
  </si>
  <si>
    <t>si.com</t>
  </si>
  <si>
    <t>Média-Alta</t>
  </si>
  <si>
    <t>Fãs de esportes e cultura esportiva americana</t>
  </si>
  <si>
    <t>Sports Illustrated — conteúdo aprofundado sobre NFL e times da liga.</t>
  </si>
  <si>
    <t>2. NFL E ESPORTES — PORTAIS BRASILEIROS</t>
  </si>
  <si>
    <t>Perfil Comportamental Premium</t>
  </si>
  <si>
    <t>Retargetly</t>
  </si>
  <si>
    <t>Base comportamental de consumo premium, cruzada com hábitos digitais e mobilidade urbana.</t>
  </si>
  <si>
    <t>ge.globo.com</t>
  </si>
  <si>
    <t>2. B3 ADVANCED DATA ⭐</t>
  </si>
  <si>
    <t>Esportes BR</t>
  </si>
  <si>
    <t>Público brasileiro fã de NFL</t>
  </si>
  <si>
    <t>Cobertura de NFL em português, com editoria dedicada à liga.</t>
  </si>
  <si>
    <t>Investidor PF Ativo — Renda R$10k+</t>
  </si>
  <si>
    <t>espn.com.br</t>
  </si>
  <si>
    <t>B3 Advanced Data</t>
  </si>
  <si>
    <t>B3 (Bolsa de Valores)</t>
  </si>
  <si>
    <t>Investidores pessoa física ativos na bolsa, com renda declarada a partir de R$10 mil — alto poder de decisão financeira.</t>
  </si>
  <si>
    <t>Versão brasileira da ESPN, com cobertura de NFL e do jogo da liga no país.</t>
  </si>
  <si>
    <t>Renda Declarada Acima de R$30k</t>
  </si>
  <si>
    <t>uol.com.br/esporte</t>
  </si>
  <si>
    <t>Faixa de renda mais alta da base B3, aderente ao público A/B do briefing e a produtos de seguro/proteção patrimonial.</t>
  </si>
  <si>
    <t>Público brasileiro fã de esportes americanos</t>
  </si>
  <si>
    <t>Portal de grande audiência com seção de esportes internacionais e NFL.</t>
  </si>
  <si>
    <t>Perfil de Alocação Moderado/Arrojado</t>
  </si>
  <si>
    <t>lance.com.br</t>
  </si>
  <si>
    <t>Público brasileiro fã de esportes</t>
  </si>
  <si>
    <t>Portal esportivo brasileiro com cobertura de NFL e eventos internacionais.</t>
  </si>
  <si>
    <t>Investidores com apetite a risco moderado ou arrojado — indicativo de maior disposição de consumo e mobilidade financeira.</t>
  </si>
  <si>
    <t>Interesse em Ações de Consumo e Entretenimento</t>
  </si>
  <si>
    <t>Média</t>
  </si>
  <si>
    <t>Histórico de investimento em empresas de mídia, entretenimento e streaming — proxy de afinidade com o universo da campanha.</t>
  </si>
  <si>
    <t>AGÊNCIA</t>
  </si>
  <si>
    <t>3. IN-MARKET — INTENÇÃO ATIVA</t>
  </si>
  <si>
    <t>In-Market for Sporting Goods</t>
  </si>
  <si>
    <t>In-Market</t>
  </si>
  <si>
    <t>DV360 Nativo</t>
  </si>
  <si>
    <t>Usuários pesquisando ativamente artigos esportivos — camisas, bonés e colecionáveis oficiais.</t>
  </si>
  <si>
    <t>In-Market for Apparel &amp; Streetwear</t>
  </si>
  <si>
    <t>Intenção de compra em moda streetwear, alinhado ao consumo de produtos oficiais e colecionáveis do briefing.</t>
  </si>
  <si>
    <t>terra.com.br/esportes</t>
  </si>
  <si>
    <t>In-Market for Event Tickets &amp; Travel (EUA)</t>
  </si>
  <si>
    <t>DADOS DE FATURAMENTO</t>
  </si>
  <si>
    <t>Pesquisa ativa por viagens e ingressos para eventos — conecta com o interesse em MetLife Stadium/NY.</t>
  </si>
  <si>
    <t>Portal de esportes com boa audiência em classes A/B urbanas.</t>
  </si>
  <si>
    <t>In-Market for Streaming &amp; Electronics</t>
  </si>
  <si>
    <t>3. STREAMING E VÍDEO ESPORTIVO</t>
  </si>
  <si>
    <t>Intenção de compra de dispositivos e assinaturas de streaming — hábito de consumo declarado no briefing.</t>
  </si>
  <si>
    <t>Informações Adicionais de faturamento</t>
  </si>
  <si>
    <t>4. AFFINITY — INTERESSES E COMPORTAMENTO</t>
  </si>
  <si>
    <t>Sports Fans (Geral)</t>
  </si>
  <si>
    <t>Affinity</t>
  </si>
  <si>
    <t>Público com afinidade ampla e recorrente por conteúdo esportivo em geral.</t>
  </si>
  <si>
    <t>Razão Social</t>
  </si>
  <si>
    <t>youtube.com</t>
  </si>
  <si>
    <t>Pro Football / American Football Enthusiasts</t>
  </si>
  <si>
    <t>Vídeo/Streaming</t>
  </si>
  <si>
    <t>Consumidores de vídeo e highlights de NFL</t>
  </si>
  <si>
    <t>Consumidores frequentes de conteúdo sobre futebol americano e NFL — núcleo do público da campanha.</t>
  </si>
  <si>
    <t>Consumo de canais oficiais de NFL, Giants, Jets e criadores de conteúdo esportivo.</t>
  </si>
  <si>
    <t>Fantasy Sports Players</t>
  </si>
  <si>
    <t>Usuários engajados em ligas de fantasy football, alinhado ao interesse declarado no briefing.</t>
  </si>
  <si>
    <t>twitch.tv</t>
  </si>
  <si>
    <t>Gamers de Esportes e eSports (Madden NFL)</t>
  </si>
  <si>
    <t>Gamers e fãs de eSports (Madden NFL)</t>
  </si>
  <si>
    <t>Jogadores de games esportivos, com destaque para o público de Madden NFL citado no briefing.</t>
  </si>
  <si>
    <t>Plataforma de destaque para o público de Madden NFL e eSports citado no briefing.</t>
  </si>
  <si>
    <t>5. CONTEXTUAL — TEMA DE CONTEÚDO</t>
  </si>
  <si>
    <t>bleacherreport.com</t>
  </si>
  <si>
    <t>Fãs de esportes americanos, consumo mobile</t>
  </si>
  <si>
    <t>Portal com forte presença de conteúdo em vídeo e social sobre NFL.</t>
  </si>
  <si>
    <t>theathletic.com</t>
  </si>
  <si>
    <t>Páginas de Notícias sobre NFL no Brasil</t>
  </si>
  <si>
    <t>Contextual</t>
  </si>
  <si>
    <t>DV360 Brand Controls</t>
  </si>
  <si>
    <t>Fãs de esportes com alto engajamento editorial</t>
  </si>
  <si>
    <t>Impacto em páginas com cobertura de NFL em veículos brasileiros — contexto direto com a categoria.</t>
  </si>
  <si>
    <t>Cobertura aprofundada de times da NFL, incluindo Giants e Jets.</t>
  </si>
  <si>
    <t>Conteúdo sobre New York Giants</t>
  </si>
  <si>
    <t>Faturar após veiculação   (   x  ) Sim   (     ) Não</t>
  </si>
  <si>
    <t>DV360 Brand Controls + Keywords</t>
  </si>
  <si>
    <t>4. FANTASY FOOTBALL, GAMES E CULTURA POP</t>
  </si>
  <si>
    <t>Páginas com notícias, resultados e pautas específicas do New York Giants — atende ao pedido de foco em torcedores do time.</t>
  </si>
  <si>
    <t>Conteúdo sobre New York Jets</t>
  </si>
  <si>
    <t>Páginas com notícias, resultados e pautas específicas do New York Jets — atende ao pedido de foco em torcedores do time.</t>
  </si>
  <si>
    <t>Fantasy Football e Madden NFL</t>
  </si>
  <si>
    <t>Conteúdo editorial sobre ligas de fantasy e o game Madden NFL.</t>
  </si>
  <si>
    <t>CNPJ</t>
  </si>
  <si>
    <t>Cultura Pop Norte-Americana e Entretenimento</t>
  </si>
  <si>
    <t>Páginas de entretenimento e cultura dos EUA, conectando com o eixo MetLife Stadium/NY do briefing.</t>
  </si>
  <si>
    <t>ea.com</t>
  </si>
  <si>
    <t>6. CUSTOM INTENT &amp; CUSTOM AFFINITY</t>
  </si>
  <si>
    <t>Games</t>
  </si>
  <si>
    <t>Jogadores de Madden NFL</t>
  </si>
  <si>
    <t>Site oficial da EA Sports, publisher do game Madden NFL citado no briefing.</t>
  </si>
  <si>
    <t>Emissão NF</t>
  </si>
  <si>
    <t>ign.com</t>
  </si>
  <si>
    <t>Custom Intent — New York Giants</t>
  </si>
  <si>
    <t>Games/Cultura Pop</t>
  </si>
  <si>
    <t>Custom Intent</t>
  </si>
  <si>
    <t>DV360 (URLs + Keywords)</t>
  </si>
  <si>
    <t>Segmento construído com URLs e termos de busca ligados ao New York Giants (site oficial, notícias, escalação, jogos).</t>
  </si>
  <si>
    <t>Gamers e consumidores de cultura pop americana</t>
  </si>
  <si>
    <t>Portal de games com cobertura de Madden NFL e cultura pop dos EUA.</t>
  </si>
  <si>
    <t>5 DFM</t>
  </si>
  <si>
    <t>Custom Intent — New York Jets</t>
  </si>
  <si>
    <t>Segmento construído com URLs e termos de busca ligados ao New York Jets (site oficial, notícias, escalação, jogos).</t>
  </si>
  <si>
    <t>yahoo.com/sports/fantasy</t>
  </si>
  <si>
    <t>Custom Affinity — Torcedores de NFL no Brasil</t>
  </si>
  <si>
    <t>Fantasy Sports</t>
  </si>
  <si>
    <t>Custom Affinity</t>
  </si>
  <si>
    <t>Jogadores de ligas de fantasy football</t>
  </si>
  <si>
    <t>DV360 (URLs)</t>
  </si>
  <si>
    <t>Uma das maiores plataformas de fantasy football, alinhada ao interesse do briefing.</t>
  </si>
  <si>
    <t>Público com hábito recorrente de consumo de conteúdo NFL em português, construído a partir de sites e canais de nicho.</t>
  </si>
  <si>
    <t>Custom Intent — Ingressos e Jogo NFL Brasil / MetLife Stadium</t>
  </si>
  <si>
    <t>Contato Responsável</t>
  </si>
  <si>
    <t>polygon.com</t>
  </si>
  <si>
    <t>Intenção recente relacionada a ingressos, transmissão e cobertura do jogo de NFL no Brasil e ao MetLife Stadium.</t>
  </si>
  <si>
    <t>Consumidores de games e cultura pop</t>
  </si>
  <si>
    <t>Cobertura de games e cultura pop americana, reforço de contexto de entretenimento.</t>
  </si>
  <si>
    <t>Custom Affinity — Consumo de Streaming Esportivo (ESPN, NFL Game Pass)</t>
  </si>
  <si>
    <t>Hábito de consumo de plataformas de streaming esportivo especializadas em NFL.</t>
  </si>
  <si>
    <t>5. VIAGENS, ENTRETENIMENTO E CULTURA POP EUA/NY</t>
  </si>
  <si>
    <t>7. GEOLOCALIZAÇÃO — LIVETRACK E GEOTRACK</t>
  </si>
  <si>
    <t>Responsável Financeiro</t>
  </si>
  <si>
    <t>Vencimento</t>
  </si>
  <si>
    <t>LiveTrack — Raio de 1km ao redor do Maracanã (dia do jogo)</t>
  </si>
  <si>
    <t>15 DDL</t>
  </si>
  <si>
    <t>Geolocalização</t>
  </si>
  <si>
    <t>Adsplay LiveTrack</t>
  </si>
  <si>
    <t>tripadvisor.com.br</t>
  </si>
  <si>
    <t>Impacto em tempo real de usuários presentes no entorno do Maracanã durante o jogo da NFL, conforme definido no plano.</t>
  </si>
  <si>
    <t>Viagem/Entretenimento</t>
  </si>
  <si>
    <t>GeoTrack — Frequentadores do Maracanã (janela de 90 dias)</t>
  </si>
  <si>
    <t>Interessados em viagens aos EUA/NY</t>
  </si>
  <si>
    <t>Adsplay GeoTrack</t>
  </si>
  <si>
    <t>Reimpacto de usuários que estiveram no raio de interesse do Maracanã antes ou depois do evento.</t>
  </si>
  <si>
    <t>Conecta com o interesse do briefing em viagens e entretenimento no eixo MetLife Stadium/NY.</t>
  </si>
  <si>
    <t>Email Responsável</t>
  </si>
  <si>
    <t>LiveTrack — Bares e Esporte Bars durante transmissões de NFL</t>
  </si>
  <si>
    <t>panrotas.com.br</t>
  </si>
  <si>
    <t>Impacto em tempo real de público presente em bares esportivos durante os jogos, ampliando o alcance do dia de jogo.</t>
  </si>
  <si>
    <t>Interessados em viagens internacionais</t>
  </si>
  <si>
    <t>GeoTrack — Frequentadores de Lojas de Artigos Esportivos</t>
  </si>
  <si>
    <t>Portal de viagens com audiência de classe A/B, alinhado ao perfil do target.</t>
  </si>
  <si>
    <t>Email</t>
  </si>
  <si>
    <t>Histórico de frequência a lojas de artigos esportivos e colecionáveis, indicando afinidade com o universo NFL.</t>
  </si>
  <si>
    <t>imdb.com</t>
  </si>
  <si>
    <t>8. LOOK-A-LIKE &amp; REMARKETING</t>
  </si>
  <si>
    <t>Cultura Pop</t>
  </si>
  <si>
    <t>Consumidores de cultura pop e entretenimento americano</t>
  </si>
  <si>
    <t>Reforço de contexto de cultura pop norte-americana citado no briefing.</t>
  </si>
  <si>
    <t>6. NOTÍCIAS E LIFESTYLE MASCULINO A/B</t>
  </si>
  <si>
    <t>Look-a-Like de Compradores/Clientes Metlife</t>
  </si>
  <si>
    <t>Look-a-Like</t>
  </si>
  <si>
    <t>DV360 / Floodlight</t>
  </si>
  <si>
    <t>Expansão de alcance a partir da similaridade com a base de clientes já convertidos da Metlife.</t>
  </si>
  <si>
    <t>Remarketing — Visitantes do Site Metlife</t>
  </si>
  <si>
    <t>Remarketing</t>
  </si>
  <si>
    <t>Floodlight</t>
  </si>
  <si>
    <t>Reimpacto de usuários que já visitaram o site da Metlife durante o período da campanha.</t>
  </si>
  <si>
    <t>Look-a-Like de Torcedores Engajados — Giants/Jets</t>
  </si>
  <si>
    <t>forbes.com.br</t>
  </si>
  <si>
    <t>DV360</t>
  </si>
  <si>
    <t>Expansão por similaridade a partir dos públicos Custom Intent/Affinity de torcedores do Giants e do Jets.</t>
  </si>
  <si>
    <t>Lifestyle/Negócios</t>
  </si>
  <si>
    <t>Executivos e profissionais liberais</t>
  </si>
  <si>
    <t>Remarketing — Engajados com Conteúdo NFL (Vídeo/Display)</t>
  </si>
  <si>
    <t>Alinhado ao perfil profissional de executivos e gestores do briefing.</t>
  </si>
  <si>
    <t>Reimpacto de usuários que assistiram/clicaram em peças da campanha com temática NFL.</t>
  </si>
  <si>
    <t>9. KEYWORDS TARGETING</t>
  </si>
  <si>
    <t>gq.com.br</t>
  </si>
  <si>
    <t>Lifestyle Masculino</t>
  </si>
  <si>
    <t>TIPO DE CAMPANHA</t>
  </si>
  <si>
    <t>Homens 18-39, classe A/B, consumidores de streetwear</t>
  </si>
  <si>
    <t>Lista Produto — Seguro de Vida e Proteção Familiar</t>
  </si>
  <si>
    <t>Conecta com o público masculino do briefing e o interesse em moda streetwear.</t>
  </si>
  <si>
    <t>Keywords</t>
  </si>
  <si>
    <t>Termos ligados ao produto Metlife: seguro de vida, proteção familiar, planejamento financeiro.</t>
  </si>
  <si>
    <t>Lista NFL Geral</t>
  </si>
  <si>
    <t>uol.com.br</t>
  </si>
  <si>
    <t>FORMATO</t>
  </si>
  <si>
    <t>Notícias Gerais</t>
  </si>
  <si>
    <t>Termos amplos da categoria: NFL, futebol americano, Super Bowl, temporada NFL.</t>
  </si>
  <si>
    <t>Público geral de alto tráfego, classe A/B</t>
  </si>
  <si>
    <t>Lista Times — New York Giants e New York Jets</t>
  </si>
  <si>
    <t>Portal de notícias de grande alcance para reforço de volume qualificado.</t>
  </si>
  <si>
    <t>Termos e apelidos específicos dos dois times foco: New York Giants, Big Blue, New York Jets, Gang Green.</t>
  </si>
  <si>
    <t>VOLUME</t>
  </si>
  <si>
    <t>Lista Contexto — Fantasy, Madden e MetLife Stadium</t>
  </si>
  <si>
    <t>VALOR LIQUIDO</t>
  </si>
  <si>
    <t>Termos de contexto complementar: fantasy football, Madden NFL, MetLife Stadium, jogo da NFL no Brasil.</t>
  </si>
  <si>
    <t>LEGENDA DE PRIORIDADE</t>
  </si>
  <si>
    <t>10. TOPIC TARGETING</t>
  </si>
  <si>
    <t>PROGRAMÁTICA</t>
  </si>
  <si>
    <t>Topic — Sports &gt; American Football</t>
  </si>
  <si>
    <t>Topic</t>
  </si>
  <si>
    <t>Inventário classificado por tópico editorial de futebol americano.</t>
  </si>
  <si>
    <t>Topic — Sports &gt; Fantasy Sports</t>
  </si>
  <si>
    <t>Inventário classificado por tópico editorial de esportes de fantasia.</t>
  </si>
  <si>
    <t>Topic — Entertainment &amp; Pop Culture (EUA)</t>
  </si>
  <si>
    <t>Inventário de entretenimento e cultura pop dos EUA, reforçando o eixo NY/MetLife Stadium.</t>
  </si>
  <si>
    <t>11. YOUTUBE AUDIENCE SEGMENTS</t>
  </si>
  <si>
    <t>YouTube — Espectadores de Canais de Esportes Americanos</t>
  </si>
  <si>
    <t>YouTube Audience</t>
  </si>
  <si>
    <t>DV360 / YouTube</t>
  </si>
  <si>
    <t>Consumo recorrente de canais e conteúdo de esportes americanos no YouTube — aderente ao investimento em TrueView.</t>
  </si>
  <si>
    <t>YouTube — Espectadores de Highlights NFL, Giants e Jets</t>
  </si>
  <si>
    <t>Consumo de vídeos de melhores momentos, análises e resumos de jogos da NFL, com recorte para os dois times foco.</t>
  </si>
  <si>
    <t>YouTube — Gamers de Madden NFL e eSports</t>
  </si>
  <si>
    <t>Espectadores de conteúdo de gameplay e eSports do universo Madden NFL.</t>
  </si>
  <si>
    <t xml:space="preserve">  Alta</t>
  </si>
  <si>
    <t>Segmento/site com alta precisão e relevância direta para o target</t>
  </si>
  <si>
    <t xml:space="preserve">  Média-Alta</t>
  </si>
  <si>
    <t>Boa relevância — recomendado como complemento às audiências primárias</t>
  </si>
  <si>
    <t xml:space="preserve">  Média</t>
  </si>
  <si>
    <t>Suporte para alcance — amplia volume com assertividade razoável</t>
  </si>
  <si>
    <t>Todos os domínios listados possuem inventário disponível via Google Ad Exchange (AdX) para ativação em DV360. A disponibilidade pode variar por período e praça. Recomenda-se combinar a wishlist com segmentações de audiência B3 Advanced Data e Custom Intent/Affinity — em especial os segmentos voltados a torcedores do New York Giants e do New York Jets — para máxima assertividade.</t>
  </si>
  <si>
    <t>Segmentos de audiência gerados pela Adsplay para ativação em DV360. B3 Advanced Data é tecnologia exclusiva Adsplay. Geoloc LiveTrack e GeoTrack são tecnologias proprietárias Adsplay. Recomenda-se combinar ao menos 1 segmento de cada categoria para máxima assertividade e cobertura, com atenção especial aos segmentos Custom Intent/Affinity, Contextual e Keywords voltados a torcedores do New York Giants e do New York Jets.</t>
  </si>
  <si>
    <t>TOTAL GERAL</t>
  </si>
  <si>
    <t>TOTAL MENSAL</t>
  </si>
  <si>
    <t>CONCORRENTES</t>
  </si>
  <si>
    <t>OBSERVAÇÕES</t>
  </si>
  <si>
    <t>Nome | Agência</t>
  </si>
  <si>
    <t>Data</t>
  </si>
  <si>
    <t>Assinatura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</si>
</sst>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d/MM/yyyy"/>
  </numFmts>
  <fonts count="39">
    <font>
      <sz val="10.0"/>
      <color rgb="FF000000"/>
      <name val="Arial"/>
      <scheme val="minor"/>
    </font>
    <font>
      <sz val="11.0"/>
      <color rgb="FF000000"/>
      <name val="Roboto"/>
    </font>
    <font>
      <sz val="11.0"/>
      <color theme="1"/>
      <name val="Roboto"/>
    </font>
    <font>
      <b/>
      <u/>
      <sz val="11.0"/>
      <color rgb="FF7030A0"/>
      <name val="Roboto"/>
    </font>
    <font>
      <b/>
      <sz val="11.0"/>
      <color rgb="FFFFFFFF"/>
      <name val="Roboto"/>
    </font>
    <font>
      <b/>
      <sz val="11.0"/>
      <color rgb="FF000000"/>
      <name val="Roboto"/>
    </font>
    <font>
      <b/>
      <sz val="11.0"/>
      <color rgb="FF301E9C"/>
      <name val="Roboto"/>
    </font>
    <font>
      <b/>
      <sz val="11.0"/>
      <color rgb="FF400047"/>
      <name val="Roboto"/>
    </font>
    <font/>
    <font>
      <sz val="11.0"/>
      <color rgb="FFCCCCCC"/>
      <name val="Roboto"/>
    </font>
    <font>
      <color theme="1"/>
      <name val="Arial"/>
    </font>
    <font>
      <b/>
      <sz val="11.0"/>
      <color rgb="FFCCCCCC"/>
      <name val="Roboto"/>
    </font>
    <font>
      <i/>
      <sz val="10.0"/>
      <color rgb="FF000000"/>
      <name val="Roboto"/>
    </font>
    <font>
      <b/>
      <sz val="9.0"/>
      <color rgb="FF000000"/>
      <name val="Roboto"/>
    </font>
    <font>
      <b/>
      <sz val="12.0"/>
      <color rgb="FFFFFFFF"/>
      <name val="Roboto"/>
    </font>
    <font>
      <b/>
      <sz val="11.0"/>
      <color theme="1"/>
      <name val="Roboto"/>
    </font>
    <font>
      <b/>
      <u/>
      <sz val="11.0"/>
      <color rgb="FF831E9B"/>
      <name val="Roboto"/>
    </font>
    <font>
      <i/>
      <sz val="11.0"/>
      <color theme="1"/>
      <name val="Roboto"/>
    </font>
    <font>
      <b/>
      <sz val="11.0"/>
      <color rgb="FF831E9B"/>
      <name val="Roboto"/>
    </font>
    <font>
      <b/>
      <sz val="11.0"/>
      <color rgb="FF7030A0"/>
      <name val="Roboto"/>
    </font>
    <font>
      <b/>
      <sz val="13.0"/>
      <color rgb="FFFFFFFF"/>
      <name val="Arial"/>
    </font>
    <font>
      <i/>
      <sz val="9.0"/>
      <color rgb="FFFFFFFF"/>
      <name val="Arial"/>
    </font>
    <font>
      <b/>
      <sz val="20.0"/>
      <color rgb="FF831E9B"/>
      <name val="Roboto"/>
    </font>
    <font>
      <b/>
      <sz val="10.0"/>
      <color rgb="FFFFFFFF"/>
      <name val="Arial"/>
    </font>
    <font>
      <b/>
      <sz val="18.0"/>
      <color rgb="FF831E9B"/>
      <name val="Roboto"/>
    </font>
    <font>
      <sz val="9.0"/>
      <color rgb="FF3B363B"/>
      <name val="Arial"/>
    </font>
    <font>
      <b/>
      <sz val="9.0"/>
      <color rgb="FF3B363B"/>
      <name val="Arial"/>
    </font>
    <font>
      <b/>
      <sz val="9.0"/>
      <color rgb="FFFFFFFF"/>
      <name val="Arial"/>
    </font>
    <font>
      <b/>
      <sz val="11.0"/>
      <color rgb="FF20124D"/>
      <name val="Roboto"/>
    </font>
    <font>
      <sz val="11.0"/>
      <color theme="1"/>
      <name val="Arial"/>
      <scheme val="minor"/>
    </font>
    <font>
      <sz val="11.0"/>
      <color rgb="FF20124D"/>
      <name val="Roboto"/>
    </font>
    <font>
      <i/>
      <sz val="9.0"/>
      <color rgb="FF3B363B"/>
      <name val="Arial"/>
    </font>
    <font>
      <i/>
      <sz val="8.0"/>
      <color rgb="FF5D4037"/>
      <name val="Arial"/>
    </font>
    <font>
      <b/>
      <u/>
      <sz val="11.0"/>
      <color rgb="FF000000"/>
      <name val="Roboto"/>
    </font>
    <font>
      <b/>
      <u/>
      <sz val="11.0"/>
      <color rgb="FF000000"/>
      <name val="Roboto"/>
    </font>
    <font>
      <b/>
      <u/>
      <sz val="11.0"/>
      <color rgb="FF000000"/>
      <name val="Roboto"/>
    </font>
    <font>
      <b/>
      <u/>
      <sz val="11.0"/>
      <color rgb="FF000000"/>
      <name val="Roboto"/>
    </font>
    <font>
      <b/>
      <u/>
      <sz val="11.0"/>
      <color rgb="FF000000"/>
      <name val="Roboto"/>
    </font>
    <font>
      <i/>
      <sz val="11.0"/>
      <color rgb="FF301E9C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831E9B"/>
        <bgColor rgb="FF831E9B"/>
      </patternFill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F3F3F3"/>
        <bgColor rgb="FFF3F3F3"/>
      </patternFill>
    </fill>
    <fill>
      <patternFill patternType="solid">
        <fgColor rgb="FF301E9C"/>
        <bgColor rgb="FF301E9C"/>
      </patternFill>
    </fill>
    <fill>
      <patternFill patternType="solid">
        <fgColor rgb="FF5F0F73"/>
        <bgColor rgb="FF5F0F73"/>
      </patternFill>
    </fill>
    <fill>
      <patternFill patternType="solid">
        <fgColor rgb="FF1B5E20"/>
        <bgColor rgb="FF1B5E20"/>
      </patternFill>
    </fill>
    <fill>
      <patternFill patternType="solid">
        <fgColor rgb="FFEEEDED"/>
        <bgColor rgb="FFEEEDED"/>
      </patternFill>
    </fill>
    <fill>
      <patternFill patternType="solid">
        <fgColor rgb="FF4A148C"/>
        <bgColor rgb="FF4A148C"/>
      </patternFill>
    </fill>
    <fill>
      <patternFill patternType="solid">
        <fgColor rgb="FF01579B"/>
        <bgColor rgb="FF01579B"/>
      </patternFill>
    </fill>
    <fill>
      <patternFill patternType="solid">
        <fgColor rgb="FFFFFF99"/>
        <bgColor rgb="FFFFFF99"/>
      </patternFill>
    </fill>
  </fills>
  <borders count="66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301E9C"/>
      </left>
      <right style="thin">
        <color rgb="FF301E9C"/>
      </right>
      <top style="thin">
        <color rgb="FF301E9C"/>
      </top>
      <bottom style="thin">
        <color rgb="FF7030A0"/>
      </bottom>
    </border>
    <border>
      <left style="thin">
        <color rgb="FF301E9C"/>
      </left>
      <right style="thin">
        <color rgb="FF301E9C"/>
      </right>
      <top style="thin">
        <color rgb="FF7030A0"/>
      </top>
      <bottom style="thin">
        <color rgb="FF7030A0"/>
      </bottom>
    </border>
    <border>
      <left style="thin">
        <color rgb="FF301E9C"/>
      </left>
      <right style="thin">
        <color rgb="FF301E9C"/>
      </right>
      <bottom style="thin">
        <color rgb="FF7030A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666666"/>
      </left>
      <top style="thin">
        <color rgb="FF666666"/>
      </top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666666"/>
      </right>
      <top style="thin">
        <color rgb="FF000000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</border>
    <border>
      <left style="thin">
        <color rgb="FF434343"/>
      </left>
      <right style="thin">
        <color rgb="FF434343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</border>
    <border>
      <right style="thin">
        <color rgb="FF666666"/>
      </right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left style="thin">
        <color rgb="FF831E9B"/>
      </left>
    </border>
    <border>
      <right style="thin">
        <color rgb="FF400047"/>
      </right>
    </border>
    <border>
      <right style="thin">
        <color rgb="FF831E9B"/>
      </right>
    </border>
    <border>
      <left style="thin">
        <color rgb="FF831E9B"/>
      </left>
      <bottom style="thin">
        <color rgb="FF831E9B"/>
      </bottom>
    </border>
    <border>
      <right style="thin">
        <color rgb="FF400047"/>
      </right>
      <bottom style="thin">
        <color rgb="FF831E9B"/>
      </bottom>
    </border>
    <border>
      <bottom style="thin">
        <color rgb="FF831E9B"/>
      </bottom>
    </border>
    <border>
      <right style="thin">
        <color rgb="FF831E9B"/>
      </right>
      <bottom style="thin">
        <color rgb="FF831E9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831E9B"/>
      </left>
      <top style="thin">
        <color rgb="FF831E9B"/>
      </top>
    </border>
    <border>
      <top style="thin">
        <color rgb="FF831E9B"/>
      </top>
    </border>
    <border>
      <right style="thin">
        <color rgb="FF831E9B"/>
      </right>
      <top style="thin">
        <color rgb="FF831E9B"/>
      </top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top style="thin">
        <color rgb="FF831E9B"/>
      </top>
      <bottom style="thin">
        <color rgb="FF831E9B"/>
      </bottom>
    </border>
    <border>
      <top style="thin">
        <color rgb="FF831E9B"/>
      </top>
      <bottom style="thin">
        <color rgb="FF666666"/>
      </bottom>
    </border>
    <border>
      <top style="thin">
        <color rgb="FF666666"/>
      </top>
    </border>
    <border>
      <right style="thin">
        <color rgb="FF000000"/>
      </right>
      <top style="thin">
        <color rgb="FF831E9B"/>
      </top>
    </border>
    <border>
      <left style="thin">
        <color rgb="FF000000"/>
      </left>
      <right style="thin">
        <color rgb="FF831E9B"/>
      </right>
      <top style="thin">
        <color rgb="FF831E9B"/>
      </top>
    </border>
    <border>
      <left style="thin">
        <color rgb="FF000000"/>
      </left>
      <right style="thin">
        <color rgb="FF831E9B"/>
      </right>
    </border>
    <border>
      <right style="thin">
        <color rgb="FF000000"/>
      </right>
      <bottom style="thin">
        <color rgb="FF831E9B"/>
      </bottom>
    </border>
    <border>
      <left style="thin">
        <color rgb="FF000000"/>
      </left>
      <right style="thin">
        <color rgb="FF831E9B"/>
      </right>
      <bottom style="thin">
        <color rgb="FF831E9B"/>
      </bottom>
    </border>
    <border>
      <left style="thin">
        <color rgb="FF666666"/>
      </left>
      <bottom style="thin">
        <color rgb="FF831E9B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ill="1" applyFont="1">
      <alignment horizontal="center" readingOrder="0" vertical="center"/>
    </xf>
    <xf borderId="4" fillId="3" fontId="5" numFmtId="164" xfId="0" applyAlignment="1" applyBorder="1" applyFill="1" applyFont="1" applyNumberFormat="1">
      <alignment horizontal="center" readingOrder="0" vertical="center"/>
    </xf>
    <xf borderId="1" fillId="4" fontId="4" numFmtId="0" xfId="0" applyAlignment="1" applyBorder="1" applyFill="1" applyFont="1">
      <alignment horizontal="center" readingOrder="0" shrinkToFit="0" vertical="center" wrapText="1"/>
    </xf>
    <xf borderId="4" fillId="3" fontId="1" numFmtId="164" xfId="0" applyAlignment="1" applyBorder="1" applyFill="1" applyFont="1" applyNumberFormat="1">
      <alignment horizontal="center" readingOrder="0" vertical="center"/>
    </xf>
    <xf borderId="0" fillId="5" fontId="6" numFmtId="0" xfId="0" applyAlignment="1" applyFill="1" applyFont="1">
      <alignment horizontal="left" shrinkToFit="0" vertical="center" wrapText="1"/>
    </xf>
    <xf borderId="0" fillId="3" fontId="7" numFmtId="0" xfId="0" applyAlignment="1" applyFill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3" fontId="4" numFmtId="10" xfId="0" applyAlignment="1" applyFill="1" applyFont="1" applyNumberFormat="1">
      <alignment horizontal="center" shrinkToFit="0" vertical="center" wrapText="1"/>
    </xf>
    <xf borderId="0" fillId="6" fontId="4" numFmtId="0" xfId="0" applyAlignment="1" applyFill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5" fillId="2" fontId="4" numFmtId="164" xfId="0" applyAlignment="1" applyBorder="1" applyFill="1" applyFont="1" applyNumberFormat="1">
      <alignment horizontal="center" shrinkToFit="0" vertical="center" wrapText="1"/>
    </xf>
    <xf borderId="5" fillId="2" fontId="4" numFmtId="164" xfId="0" applyAlignment="1" applyBorder="1" applyFill="1" applyFont="1" applyNumberFormat="1">
      <alignment horizontal="center" readingOrder="0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5" fillId="2" fontId="4" numFmtId="10" xfId="0" applyAlignment="1" applyBorder="1" applyFill="1" applyFont="1" applyNumberFormat="1">
      <alignment horizontal="center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1" numFmtId="164" xfId="0" applyAlignment="1" applyBorder="1" applyFont="1" applyNumberFormat="1">
      <alignment horizontal="center" readingOrder="0" shrinkToFit="0" vertical="center" wrapText="1"/>
    </xf>
    <xf borderId="11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7" fillId="0" fontId="1" numFmtId="3" xfId="0" applyAlignment="1" applyBorder="1" applyFont="1" applyNumberFormat="1">
      <alignment horizontal="center" shrinkToFit="0" vertical="center" wrapText="1"/>
    </xf>
    <xf borderId="12" fillId="0" fontId="1" numFmtId="10" xfId="0" applyAlignment="1" applyBorder="1" applyFont="1" applyNumberFormat="1">
      <alignment horizontal="center" readingOrder="0" shrinkToFit="0" vertical="center" wrapText="1"/>
    </xf>
    <xf borderId="11" fillId="0" fontId="1" numFmtId="3" xfId="0" applyAlignment="1" applyBorder="1" applyFont="1" applyNumberFormat="1">
      <alignment horizontal="center" shrinkToFit="0" vertical="center" wrapText="1"/>
    </xf>
    <xf borderId="13" fillId="0" fontId="1" numFmtId="9" xfId="0" applyAlignment="1" applyBorder="1" applyFont="1" applyNumberFormat="1">
      <alignment horizontal="center" readingOrder="0" shrinkToFit="0" vertical="center" wrapText="1"/>
    </xf>
    <xf borderId="14" fillId="0" fontId="8" numFmtId="0" xfId="0" applyBorder="1" applyFont="1"/>
    <xf borderId="8" fillId="0" fontId="1" numFmtId="0" xfId="0" applyAlignment="1" applyBorder="1" applyFont="1">
      <alignment horizontal="center" readingOrder="0" shrinkToFit="0" vertical="center" wrapText="1"/>
    </xf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0" fillId="0" fontId="9" numFmtId="0" xfId="0" applyAlignment="1" applyFont="1">
      <alignment horizontal="center" shrinkToFit="0" vertical="center" wrapText="1"/>
    </xf>
    <xf borderId="19" fillId="0" fontId="8" numFmtId="0" xfId="0" applyBorder="1" applyFont="1"/>
    <xf borderId="8" fillId="0" fontId="9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0" fillId="0" fontId="9" numFmtId="3" xfId="0" applyAlignment="1" applyFont="1" applyNumberFormat="1">
      <alignment horizontal="center" shrinkToFit="0" vertical="center" wrapText="1"/>
    </xf>
    <xf borderId="20" fillId="0" fontId="8" numFmtId="0" xfId="0" applyBorder="1" applyFont="1"/>
    <xf borderId="21" fillId="0" fontId="8" numFmtId="0" xfId="0" applyBorder="1" applyFont="1"/>
    <xf borderId="0" fillId="0" fontId="9" numFmtId="164" xfId="0" applyAlignment="1" applyFont="1" applyNumberFormat="1">
      <alignment horizontal="center" readingOrder="0" shrinkToFit="0" vertical="center" wrapText="1"/>
    </xf>
    <xf borderId="5" fillId="0" fontId="10" numFmtId="0" xfId="0" applyAlignment="1" applyBorder="1" applyFont="1">
      <alignment vertical="center"/>
    </xf>
    <xf borderId="1" fillId="2" fontId="10" numFmtId="0" xfId="0" applyAlignment="1" applyBorder="1" applyFill="1" applyFont="1">
      <alignment vertical="center"/>
    </xf>
    <xf borderId="22" fillId="0" fontId="8" numFmtId="0" xfId="0" applyBorder="1" applyFont="1"/>
    <xf borderId="6" fillId="0" fontId="8" numFmtId="0" xfId="0" applyBorder="1" applyFont="1"/>
    <xf borderId="5" fillId="0" fontId="10" numFmtId="164" xfId="0" applyAlignment="1" applyBorder="1" applyFont="1" applyNumberFormat="1">
      <alignment vertical="center"/>
    </xf>
    <xf borderId="6" fillId="2" fontId="4" numFmtId="3" xfId="0" applyAlignment="1" applyBorder="1" applyFill="1" applyFont="1" applyNumberFormat="1">
      <alignment horizontal="center" shrinkToFit="0" vertical="center" wrapText="1"/>
    </xf>
    <xf borderId="6" fillId="2" fontId="4" numFmtId="10" xfId="0" applyAlignment="1" applyBorder="1" applyFill="1" applyFont="1" applyNumberFormat="1">
      <alignment horizontal="center" shrinkToFit="0" vertical="center" wrapText="1"/>
    </xf>
    <xf borderId="23" fillId="2" fontId="4" numFmtId="9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0" xfId="0" applyAlignment="1" applyFont="1" applyNumberFormat="1">
      <alignment horizontal="center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6" fillId="2" fontId="4" numFmtId="0" xfId="0" applyAlignment="1" applyBorder="1" applyFill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24" fillId="0" fontId="1" numFmtId="164" xfId="0" applyAlignment="1" applyBorder="1" applyFont="1" applyNumberFormat="1">
      <alignment horizontal="center" readingOrder="0" shrinkToFit="0" vertical="center" wrapText="1"/>
    </xf>
    <xf borderId="9" fillId="0" fontId="1" numFmtId="3" xfId="0" applyAlignment="1" applyBorder="1" applyFont="1" applyNumberFormat="1">
      <alignment horizontal="center" shrinkToFit="0" vertical="center" wrapText="1"/>
    </xf>
    <xf borderId="25" fillId="0" fontId="1" numFmtId="9" xfId="0" applyAlignment="1" applyBorder="1" applyFont="1" applyNumberFormat="1">
      <alignment horizontal="center" readingOrder="0" shrinkToFit="0" vertical="center" wrapText="1"/>
    </xf>
    <xf borderId="10" fillId="0" fontId="9" numFmtId="164" xfId="0" applyAlignment="1" applyBorder="1" applyFont="1" applyNumberForma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11" fillId="0" fontId="1" numFmtId="9" xfId="0" applyAlignment="1" applyBorder="1" applyFont="1" applyNumberFormat="1">
      <alignment horizontal="center" readingOrder="0" shrinkToFit="0" vertical="center" wrapText="1"/>
    </xf>
    <xf borderId="24" fillId="0" fontId="9" numFmtId="164" xfId="0" applyAlignment="1" applyBorder="1" applyFont="1" applyNumberFormat="1">
      <alignment horizontal="center" readingOrder="0" shrinkToFit="0" vertical="center" wrapText="1"/>
    </xf>
    <xf borderId="9" fillId="0" fontId="9" numFmtId="3" xfId="0" applyAlignment="1" applyBorder="1" applyFont="1" applyNumberFormat="1">
      <alignment horizontal="center" shrinkToFit="0" vertical="center" wrapText="1"/>
    </xf>
    <xf borderId="25" fillId="0" fontId="9" numFmtId="9" xfId="0" applyAlignment="1" applyBorder="1" applyFont="1" applyNumberFormat="1">
      <alignment horizontal="center" readingOrder="0" shrinkToFit="0" vertical="center" wrapText="1"/>
    </xf>
    <xf borderId="11" fillId="0" fontId="9" numFmtId="9" xfId="0" applyAlignment="1" applyBorder="1" applyFont="1" applyNumberFormat="1">
      <alignment horizontal="center" readingOrder="0" shrinkToFit="0" vertical="center" wrapText="1"/>
    </xf>
    <xf borderId="26" fillId="0" fontId="8" numFmtId="0" xfId="0" applyBorder="1" applyFont="1"/>
    <xf borderId="27" fillId="0" fontId="8" numFmtId="0" xfId="0" applyBorder="1" applyFont="1"/>
    <xf borderId="28" fillId="2" fontId="4" numFmtId="0" xfId="0" applyAlignment="1" applyBorder="1" applyFill="1" applyFont="1">
      <alignment horizontal="center" shrinkToFit="0" vertical="center" wrapText="1"/>
    </xf>
    <xf borderId="29" fillId="0" fontId="8" numFmtId="0" xfId="0" applyBorder="1" applyFont="1"/>
    <xf borderId="23" fillId="0" fontId="8" numFmtId="0" xfId="0" applyBorder="1" applyFont="1"/>
    <xf borderId="29" fillId="2" fontId="4" numFmtId="9" xfId="0" applyAlignment="1" applyBorder="1" applyFill="1" applyFont="1" applyNumberFormat="1">
      <alignment horizontal="center" shrinkToFit="0" vertical="center" wrapText="1"/>
    </xf>
    <xf borderId="6" fillId="2" fontId="4" numFmtId="9" xfId="0" applyAlignment="1" applyBorder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shrinkToFit="0" vertical="center" wrapText="1"/>
    </xf>
    <xf borderId="0" fillId="0" fontId="1" numFmtId="9" xfId="0" applyAlignment="1" applyFont="1" applyNumberForma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31" fillId="0" fontId="2" numFmtId="0" xfId="0" applyAlignment="1" applyBorder="1" applyFont="1">
      <alignment horizontal="center" readingOrder="0" shrinkToFit="0" vertical="center" wrapText="1"/>
    </xf>
    <xf borderId="8" fillId="0" fontId="2" numFmtId="164" xfId="0" applyAlignment="1" applyBorder="1" applyFont="1" applyNumberFormat="1">
      <alignment horizontal="center" readingOrder="0" shrinkToFit="0" vertical="center" wrapText="1"/>
    </xf>
    <xf borderId="8" fillId="0" fontId="2" numFmtId="10" xfId="0" applyAlignment="1" applyBorder="1" applyFont="1" applyNumberFormat="1">
      <alignment horizontal="center" readingOrder="0" shrinkToFit="0" vertical="center" wrapText="1"/>
    </xf>
    <xf borderId="30" fillId="0" fontId="9" numFmtId="0" xfId="0" applyAlignment="1" applyBorder="1" applyFont="1">
      <alignment horizontal="center" readingOrder="0" shrinkToFit="0" vertical="center" wrapText="1"/>
    </xf>
    <xf borderId="31" fillId="0" fontId="9" numFmtId="0" xfId="0" applyAlignment="1" applyBorder="1" applyFont="1">
      <alignment horizontal="center" readingOrder="0" shrinkToFit="0" vertical="center" wrapText="1"/>
    </xf>
    <xf borderId="8" fillId="0" fontId="9" numFmtId="164" xfId="0" applyAlignment="1" applyBorder="1" applyFont="1" applyNumberFormat="1">
      <alignment horizontal="center" readingOrder="0" shrinkToFit="0" vertical="center" wrapText="1"/>
    </xf>
    <xf borderId="11" fillId="0" fontId="9" numFmtId="164" xfId="0" applyAlignment="1" applyBorder="1" applyFont="1" applyNumberFormat="1">
      <alignment horizontal="center" readingOrder="0" shrinkToFit="0" vertical="center" wrapText="1"/>
    </xf>
    <xf borderId="7" fillId="0" fontId="9" numFmtId="3" xfId="0" applyAlignment="1" applyBorder="1" applyFont="1" applyNumberFormat="1">
      <alignment horizontal="center" shrinkToFit="0" vertical="center" wrapText="1"/>
    </xf>
    <xf borderId="8" fillId="0" fontId="9" numFmtId="10" xfId="0" applyAlignment="1" applyBorder="1" applyFont="1" applyNumberFormat="1">
      <alignment horizontal="center" readingOrder="0" shrinkToFit="0" vertical="center" wrapText="1"/>
    </xf>
    <xf borderId="11" fillId="0" fontId="9" numFmtId="3" xfId="0" applyAlignment="1" applyBorder="1" applyFont="1" applyNumberFormat="1">
      <alignment horizontal="center" shrinkToFit="0" vertical="center" wrapText="1"/>
    </xf>
    <xf borderId="8" fillId="0" fontId="9" numFmtId="10" xfId="0" applyAlignment="1" applyBorder="1" applyFont="1" applyNumberFormat="1">
      <alignment horizontal="center" shrinkToFit="0" vertical="center" wrapText="1"/>
    </xf>
    <xf borderId="8" fillId="0" fontId="2" numFmtId="10" xfId="0" applyAlignment="1" applyBorder="1" applyFont="1" applyNumberFormat="1">
      <alignment horizontal="center" shrinkToFit="0" vertical="center" wrapText="1"/>
    </xf>
    <xf borderId="22" fillId="2" fontId="4" numFmtId="0" xfId="0" applyAlignment="1" applyBorder="1" applyFill="1" applyFont="1">
      <alignment horizontal="center" readingOrder="0" shrinkToFit="0" vertical="center" wrapText="1"/>
    </xf>
    <xf borderId="23" fillId="2" fontId="4" numFmtId="0" xfId="0" applyAlignment="1" applyBorder="1" applyFill="1" applyFont="1">
      <alignment horizontal="center" readingOrder="0" shrinkToFit="0" vertical="center" wrapText="1"/>
    </xf>
    <xf borderId="1" fillId="2" fontId="4" numFmtId="164" xfId="0" applyAlignment="1" applyBorder="1" applyFill="1" applyFont="1" applyNumberFormat="1">
      <alignment horizontal="center" readingOrder="0" shrinkToFit="0" vertical="center" wrapText="1"/>
    </xf>
    <xf borderId="32" fillId="0" fontId="11" numFmtId="0" xfId="0" applyAlignment="1" applyBorder="1" applyFont="1">
      <alignment horizontal="center" readingOrder="0" shrinkToFit="0" vertical="center" wrapText="1"/>
    </xf>
    <xf borderId="33" fillId="0" fontId="9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horizontal="center" readingOrder="0" shrinkToFit="0" vertical="center" wrapText="1"/>
    </xf>
    <xf borderId="33" fillId="0" fontId="9" numFmtId="0" xfId="0" applyAlignment="1" applyBorder="1" applyFont="1">
      <alignment horizontal="center" readingOrder="0" shrinkToFit="0" vertical="center" wrapText="1"/>
    </xf>
    <xf borderId="30" fillId="0" fontId="9" numFmtId="164" xfId="0" applyAlignment="1" applyBorder="1" applyFont="1" applyNumberFormat="1">
      <alignment horizontal="center" readingOrder="0" shrinkToFit="0" vertical="center" wrapText="1"/>
    </xf>
    <xf borderId="32" fillId="0" fontId="5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readingOrder="0" shrinkToFit="0" vertical="center" wrapText="1"/>
    </xf>
    <xf borderId="33" fillId="0" fontId="1" numFmtId="0" xfId="0" applyAlignment="1" applyBorder="1" applyFont="1">
      <alignment horizontal="center" readingOrder="0" shrinkToFit="0" vertical="center" wrapText="1"/>
    </xf>
    <xf borderId="30" fillId="0" fontId="1" numFmtId="164" xfId="0" applyAlignment="1" applyBorder="1" applyFont="1" applyNumberFormat="1">
      <alignment horizontal="center" readingOrder="0" shrinkToFit="0" vertical="center" wrapText="1"/>
    </xf>
    <xf borderId="35" fillId="0" fontId="9" numFmtId="0" xfId="0" applyAlignment="1" applyBorder="1" applyFont="1">
      <alignment horizontal="center" readingOrder="0" shrinkToFit="0" vertical="center" wrapText="1"/>
    </xf>
    <xf borderId="36" fillId="0" fontId="8" numFmtId="0" xfId="0" applyBorder="1" applyFont="1"/>
    <xf borderId="35" fillId="0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5" fillId="6" fontId="4" numFmtId="164" xfId="0" applyAlignment="1" applyBorder="1" applyFill="1" applyFont="1" applyNumberFormat="1">
      <alignment horizontal="center" readingOrder="0" shrinkToFit="0" vertical="center" wrapText="1"/>
    </xf>
    <xf borderId="5" fillId="6" fontId="14" numFmtId="164" xfId="0" applyAlignment="1" applyBorder="1" applyFill="1" applyFont="1" applyNumberFormat="1">
      <alignment horizontal="center" readingOrder="0" shrinkToFit="0" vertical="center" wrapText="1"/>
    </xf>
    <xf borderId="5" fillId="6" fontId="14" numFmtId="164" xfId="0" applyAlignment="1" applyBorder="1" applyFill="1" applyFont="1" applyNumberFormat="1">
      <alignment horizontal="center" shrinkToFit="0" vertical="center" wrapText="1"/>
    </xf>
    <xf borderId="6" fillId="6" fontId="4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6" fillId="6" fontId="4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5" fillId="6" fontId="4" numFmtId="164" xfId="0" applyAlignment="1" applyBorder="1" applyFill="1" applyFont="1" applyNumberFormat="1">
      <alignment horizontal="center" shrinkToFit="0" vertical="center" wrapText="1"/>
    </xf>
    <xf borderId="5" fillId="6" fontId="4" numFmtId="3" xfId="0" applyAlignment="1" applyBorder="1" applyFill="1" applyFont="1" applyNumberFormat="1">
      <alignment horizontal="center" shrinkToFit="0" vertical="center" wrapText="1"/>
    </xf>
    <xf borderId="6" fillId="6" fontId="4" numFmtId="3" xfId="0" applyAlignment="1" applyBorder="1" applyFill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33" fillId="6" fontId="4" numFmtId="0" xfId="0" applyAlignment="1" applyBorder="1" applyFill="1" applyFont="1">
      <alignment horizontal="center" shrinkToFit="0" vertical="center" wrapText="1"/>
    </xf>
    <xf borderId="37" fillId="0" fontId="8" numFmtId="0" xfId="0" applyBorder="1" applyFont="1"/>
    <xf borderId="34" fillId="0" fontId="8" numFmtId="0" xfId="0" applyBorder="1" applyFont="1"/>
    <xf borderId="0" fillId="0" fontId="2" numFmtId="0" xfId="0" applyAlignment="1" applyFont="1">
      <alignment shrinkToFit="0" vertical="center" wrapText="1"/>
    </xf>
    <xf borderId="32" fillId="5" fontId="15" numFmtId="0" xfId="0" applyAlignment="1" applyBorder="1" applyFill="1" applyFont="1">
      <alignment horizontal="center" shrinkToFit="0" vertical="center" wrapText="1"/>
    </xf>
    <xf borderId="32" fillId="5" fontId="15" numFmtId="0" xfId="0" applyAlignment="1" applyBorder="1" applyFill="1" applyFont="1">
      <alignment horizontal="center" shrinkToFit="0" vertical="center" wrapText="1"/>
    </xf>
    <xf borderId="32" fillId="0" fontId="16" numFmtId="165" xfId="0" applyAlignment="1" applyBorder="1" applyFont="1" applyNumberFormat="1">
      <alignment horizontal="center" readingOrder="0" shrinkToFit="0" vertical="center" wrapText="1"/>
    </xf>
    <xf borderId="32" fillId="0" fontId="17" numFmtId="0" xfId="0" applyAlignment="1" applyBorder="1" applyFont="1">
      <alignment horizontal="center" readingOrder="0" shrinkToFit="0" vertical="center" wrapText="1"/>
    </xf>
    <xf borderId="32" fillId="0" fontId="17" numFmtId="164" xfId="0" applyAlignment="1" applyBorder="1" applyFont="1" applyNumberFormat="1">
      <alignment horizontal="center" shrinkToFit="0" vertical="center" wrapText="1"/>
    </xf>
    <xf borderId="32" fillId="0" fontId="2" numFmtId="3" xfId="0" applyAlignment="1" applyBorder="1" applyFont="1" applyNumberFormat="1">
      <alignment horizontal="center" shrinkToFit="0" vertical="center" wrapText="1"/>
    </xf>
    <xf borderId="32" fillId="0" fontId="18" numFmtId="0" xfId="0" applyAlignment="1" applyBorder="1" applyFont="1">
      <alignment horizontal="center" shrinkToFit="0" vertical="center" wrapText="1"/>
    </xf>
    <xf borderId="32" fillId="0" fontId="18" numFmtId="0" xfId="0" applyAlignment="1" applyBorder="1" applyFont="1">
      <alignment horizontal="center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3" fillId="5" fontId="15" numFmtId="0" xfId="0" applyAlignment="1" applyBorder="1" applyFill="1" applyFont="1">
      <alignment horizontal="center" shrinkToFit="0" vertical="center" wrapText="1"/>
    </xf>
    <xf borderId="32" fillId="5" fontId="15" numFmtId="0" xfId="0" applyAlignment="1" applyBorder="1" applyFill="1" applyFont="1">
      <alignment horizontal="center" shrinkToFit="0" vertical="center" wrapText="1"/>
    </xf>
    <xf borderId="33" fillId="0" fontId="1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2" fontId="4" numFmtId="0" xfId="0" applyAlignment="1" applyFill="1" applyFont="1">
      <alignment horizontal="center" vertical="center"/>
    </xf>
    <xf borderId="0" fillId="2" fontId="4" numFmtId="0" xfId="0" applyAlignment="1" applyFill="1" applyFont="1">
      <alignment horizontal="center" readingOrder="0" shrinkToFit="0" vertical="center" wrapText="1"/>
    </xf>
    <xf borderId="38" fillId="3" fontId="2" numFmtId="0" xfId="0" applyAlignment="1" applyBorder="1" applyFill="1" applyFont="1">
      <alignment horizontal="center" shrinkToFit="0" vertical="center" wrapText="0"/>
    </xf>
    <xf borderId="39" fillId="0" fontId="8" numFmtId="0" xfId="0" applyBorder="1" applyFont="1"/>
    <xf borderId="38" fillId="3" fontId="2" numFmtId="0" xfId="0" applyAlignment="1" applyBorder="1" applyFill="1" applyFont="1">
      <alignment horizontal="center" shrinkToFit="0" vertical="center" wrapText="1"/>
    </xf>
    <xf borderId="40" fillId="0" fontId="8" numFmtId="0" xfId="0" applyBorder="1" applyFont="1"/>
    <xf borderId="41" fillId="3" fontId="2" numFmtId="0" xfId="0" applyAlignment="1" applyBorder="1" applyFill="1" applyFont="1">
      <alignment horizontal="center" shrinkToFit="0" vertical="center" wrapText="0"/>
    </xf>
    <xf borderId="42" fillId="0" fontId="8" numFmtId="0" xfId="0" applyBorder="1" applyFont="1"/>
    <xf borderId="41" fillId="3" fontId="2" numFmtId="0" xfId="0" applyAlignment="1" applyBorder="1" applyFill="1" applyFont="1">
      <alignment horizontal="center" shrinkToFit="0" vertical="center" wrapText="1"/>
    </xf>
    <xf borderId="43" fillId="0" fontId="8" numFmtId="0" xfId="0" applyBorder="1" applyFont="1"/>
    <xf borderId="44" fillId="0" fontId="8" numFmtId="0" xfId="0" applyBorder="1" applyFont="1"/>
    <xf borderId="0" fillId="0" fontId="1" numFmtId="0" xfId="0" applyAlignment="1" applyFon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0" fillId="0" fontId="18" numFmtId="0" xfId="0" applyAlignment="1" applyFont="1">
      <alignment readingOrder="0" vertical="center"/>
    </xf>
    <xf borderId="0" fillId="0" fontId="18" numFmtId="0" xfId="0" applyAlignment="1" applyFont="1">
      <alignment horizontal="center" readingOrder="0" vertical="center"/>
    </xf>
    <xf borderId="45" fillId="7" fontId="20" numFmtId="0" xfId="0" applyAlignment="1" applyBorder="1" applyFill="1" applyFont="1">
      <alignment horizontal="center" vertical="center"/>
    </xf>
    <xf borderId="46" fillId="0" fontId="8" numFmtId="0" xfId="0" applyBorder="1" applyFont="1"/>
    <xf borderId="0" fillId="0" fontId="2" numFmtId="0" xfId="0" applyAlignment="1" applyFont="1">
      <alignment readingOrder="0" vertical="center"/>
    </xf>
    <xf borderId="47" fillId="0" fontId="8" numFmtId="0" xfId="0" applyBorder="1" applyFont="1"/>
    <xf borderId="45" fillId="2" fontId="21" numFmtId="0" xfId="0" applyAlignment="1" applyBorder="1" applyFill="1" applyFont="1">
      <alignment horizontal="center" vertical="center"/>
    </xf>
    <xf borderId="0" fillId="0" fontId="22" numFmtId="0" xfId="0" applyAlignment="1" applyFont="1">
      <alignment horizontal="center" vertical="center"/>
    </xf>
    <xf borderId="48" fillId="6" fontId="23" numFmtId="0" xfId="0" applyAlignment="1" applyBorder="1" applyFill="1" applyFont="1">
      <alignment horizontal="center" shrinkToFit="0" vertical="center" wrapText="1"/>
    </xf>
    <xf borderId="45" fillId="2" fontId="23" numFmtId="0" xfId="0" applyAlignment="1" applyBorder="1" applyFill="1" applyFont="1">
      <alignment horizontal="left" vertical="center"/>
    </xf>
    <xf borderId="0" fillId="0" fontId="24" numFmtId="0" xfId="0" applyAlignment="1" applyFont="1">
      <alignment horizontal="center" readingOrder="0" vertical="center"/>
    </xf>
    <xf borderId="48" fillId="3" fontId="25" numFmtId="0" xfId="0" applyAlignment="1" applyBorder="1" applyFill="1" applyFont="1">
      <alignment horizontal="left" vertical="center"/>
    </xf>
    <xf borderId="48" fillId="3" fontId="26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center" readingOrder="0" vertical="center"/>
    </xf>
    <xf borderId="48" fillId="3" fontId="25" numFmtId="0" xfId="0" applyAlignment="1" applyBorder="1" applyFill="1" applyFont="1">
      <alignment horizontal="left" shrinkToFit="0" vertical="center" wrapText="1"/>
    </xf>
    <xf borderId="48" fillId="8" fontId="27" numFmtId="0" xfId="0" applyAlignment="1" applyBorder="1" applyFill="1" applyFont="1">
      <alignment horizontal="center" vertical="center"/>
    </xf>
    <xf borderId="0" fillId="0" fontId="15" numFmtId="14" xfId="0" applyAlignment="1" applyFont="1" applyNumberFormat="1">
      <alignment horizontal="center" vertical="center"/>
    </xf>
    <xf borderId="48" fillId="9" fontId="25" numFmtId="0" xfId="0" applyAlignment="1" applyBorder="1" applyFill="1" applyFont="1">
      <alignment horizontal="left" vertical="center"/>
    </xf>
    <xf borderId="48" fillId="9" fontId="26" numFmtId="0" xfId="0" applyAlignment="1" applyBorder="1" applyFill="1" applyFont="1">
      <alignment horizontal="left" vertical="center"/>
    </xf>
    <xf borderId="48" fillId="9" fontId="25" numFmtId="0" xfId="0" applyAlignment="1" applyBorder="1" applyFill="1" applyFont="1">
      <alignment horizontal="left" shrinkToFit="0" vertical="center" wrapText="1"/>
    </xf>
    <xf borderId="49" fillId="0" fontId="24" numFmtId="0" xfId="0" applyAlignment="1" applyBorder="1" applyFont="1">
      <alignment horizontal="center" readingOrder="0" shrinkToFit="0" vertical="center" wrapText="0"/>
    </xf>
    <xf borderId="50" fillId="0" fontId="8" numFmtId="0" xfId="0" applyBorder="1" applyFont="1"/>
    <xf borderId="48" fillId="10" fontId="27" numFmtId="0" xfId="0" applyAlignment="1" applyBorder="1" applyFill="1" applyFont="1">
      <alignment horizontal="center" vertical="center"/>
    </xf>
    <xf borderId="51" fillId="0" fontId="8" numFmtId="0" xfId="0" applyBorder="1" applyFont="1"/>
    <xf borderId="41" fillId="0" fontId="8" numFmtId="0" xfId="0" applyBorder="1" applyFont="1"/>
    <xf borderId="0" fillId="0" fontId="28" numFmtId="0" xfId="0" applyAlignment="1" applyFont="1">
      <alignment horizontal="center" shrinkToFit="0" vertical="center" wrapText="0"/>
    </xf>
    <xf borderId="0" fillId="0" fontId="29" numFmtId="0" xfId="0" applyFont="1"/>
    <xf borderId="48" fillId="11" fontId="27" numFmtId="0" xfId="0" applyAlignment="1" applyBorder="1" applyFill="1" applyFont="1">
      <alignment horizontal="center" vertical="center"/>
    </xf>
    <xf borderId="33" fillId="2" fontId="4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vertical="center"/>
    </xf>
    <xf borderId="0" fillId="0" fontId="1" numFmtId="0" xfId="0" applyAlignment="1" applyFont="1">
      <alignment horizontal="center" shrinkToFit="0" vertical="center" wrapText="0"/>
    </xf>
    <xf borderId="32" fillId="3" fontId="15" numFmtId="0" xfId="0" applyAlignment="1" applyBorder="1" applyFill="1" applyFont="1">
      <alignment vertical="center"/>
    </xf>
    <xf borderId="33" fillId="3" fontId="2" numFmtId="0" xfId="0" applyAlignment="1" applyBorder="1" applyFill="1" applyFont="1">
      <alignment vertical="center"/>
    </xf>
    <xf borderId="33" fillId="0" fontId="28" numFmtId="0" xfId="0" applyAlignment="1" applyBorder="1" applyFont="1">
      <alignment horizontal="center" shrinkToFit="0" vertical="center" wrapText="0"/>
    </xf>
    <xf borderId="32" fillId="0" fontId="1" numFmtId="0" xfId="0" applyAlignment="1" applyBorder="1" applyFont="1">
      <alignment horizontal="center" shrinkToFit="0" vertical="center" wrapText="0"/>
    </xf>
    <xf borderId="33" fillId="0" fontId="1" numFmtId="0" xfId="0" applyAlignment="1" applyBorder="1" applyFont="1">
      <alignment horizontal="center" shrinkToFit="0" vertical="center" wrapText="0"/>
    </xf>
    <xf borderId="32" fillId="3" fontId="15" numFmtId="0" xfId="0" applyAlignment="1" applyBorder="1" applyFill="1" applyFont="1">
      <alignment readingOrder="0" vertical="center"/>
    </xf>
    <xf borderId="0" fillId="0" fontId="30" numFmtId="0" xfId="0" applyAlignment="1" applyFont="1">
      <alignment horizontal="center" readingOrder="0" shrinkToFit="0" vertical="center" wrapText="0"/>
    </xf>
    <xf borderId="27" fillId="3" fontId="1" numFmtId="0" xfId="0" applyAlignment="1" applyBorder="1" applyFill="1" applyFont="1">
      <alignment horizontal="center" vertical="center"/>
    </xf>
    <xf borderId="45" fillId="7" fontId="27" numFmtId="0" xfId="0" applyAlignment="1" applyBorder="1" applyFill="1" applyFont="1">
      <alignment horizontal="left" vertical="center"/>
    </xf>
    <xf borderId="52" fillId="3" fontId="1" numFmtId="0" xfId="0" applyAlignment="1" applyBorder="1" applyFill="1" applyFont="1">
      <alignment horizontal="center" vertical="center"/>
    </xf>
    <xf borderId="53" fillId="8" fontId="27" numFmtId="0" xfId="0" applyAlignment="1" applyBorder="1" applyFill="1" applyFont="1">
      <alignment horizontal="left" vertical="center"/>
    </xf>
    <xf borderId="54" fillId="0" fontId="8" numFmtId="0" xfId="0" applyBorder="1" applyFont="1"/>
    <xf borderId="55" fillId="0" fontId="8" numFmtId="0" xfId="0" applyBorder="1" applyFont="1"/>
    <xf borderId="45" fillId="9" fontId="31" numFmtId="0" xfId="0" applyAlignment="1" applyBorder="1" applyFill="1" applyFont="1">
      <alignment horizontal="left" vertical="center"/>
    </xf>
    <xf borderId="27" fillId="3" fontId="1" numFmtId="164" xfId="0" applyAlignment="1" applyBorder="1" applyFill="1" applyFont="1" applyNumberFormat="1">
      <alignment horizontal="center" vertical="center"/>
    </xf>
    <xf borderId="56" fillId="3" fontId="2" numFmtId="3" xfId="0" applyAlignment="1" applyBorder="1" applyFill="1" applyFont="1" applyNumberFormat="1">
      <alignment horizontal="center" vertical="center"/>
    </xf>
    <xf borderId="53" fillId="10" fontId="27" numFmtId="0" xfId="0" applyAlignment="1" applyBorder="1" applyFill="1" applyFont="1">
      <alignment horizontal="left" vertical="center"/>
    </xf>
    <xf borderId="56" fillId="3" fontId="2" numFmtId="164" xfId="0" applyAlignment="1" applyBorder="1" applyFill="1" applyFont="1" applyNumberFormat="1">
      <alignment horizontal="center" vertical="center"/>
    </xf>
    <xf borderId="53" fillId="11" fontId="27" numFmtId="0" xfId="0" applyAlignment="1" applyBorder="1" applyFill="1" applyFont="1">
      <alignment horizontal="left" vertical="center"/>
    </xf>
    <xf borderId="0" fillId="3" fontId="1" numFmtId="0" xfId="0" applyAlignment="1" applyFill="1" applyFont="1">
      <alignment horizontal="center" vertical="center"/>
    </xf>
    <xf borderId="0" fillId="3" fontId="1" numFmtId="164" xfId="0" applyAlignment="1" applyFill="1" applyFont="1" applyNumberFormat="1">
      <alignment horizontal="center" vertical="center"/>
    </xf>
    <xf borderId="45" fillId="12" fontId="32" numFmtId="0" xfId="0" applyAlignment="1" applyBorder="1" applyFill="1" applyFont="1">
      <alignment horizontal="left" shrinkToFit="0" vertical="center" wrapText="1"/>
    </xf>
    <xf borderId="0" fillId="6" fontId="4" numFmtId="0" xfId="0" applyAlignment="1" applyFill="1" applyFont="1">
      <alignment horizontal="center" vertical="center"/>
    </xf>
    <xf borderId="0" fillId="6" fontId="4" numFmtId="164" xfId="0" applyAlignment="1" applyFill="1" applyFont="1" applyNumberFormat="1">
      <alignment horizontal="center" vertical="center"/>
    </xf>
    <xf borderId="0" fillId="3" fontId="5" numFmtId="0" xfId="0" applyAlignment="1" applyFill="1" applyFont="1">
      <alignment horizontal="center" shrinkToFit="0" vertical="center" wrapText="0"/>
    </xf>
    <xf borderId="43" fillId="3" fontId="33" numFmtId="0" xfId="0" applyAlignment="1" applyBorder="1" applyFill="1" applyFont="1">
      <alignment horizontal="center" shrinkToFit="0" vertical="center" wrapText="0"/>
    </xf>
    <xf borderId="57" fillId="3" fontId="34" numFmtId="0" xfId="0" applyAlignment="1" applyBorder="1" applyFill="1" applyFont="1">
      <alignment horizontal="center" shrinkToFit="0" vertical="center" wrapText="0"/>
    </xf>
    <xf borderId="57" fillId="0" fontId="8" numFmtId="0" xfId="0" applyBorder="1" applyFont="1"/>
    <xf borderId="58" fillId="3" fontId="35" numFmtId="0" xfId="0" applyAlignment="1" applyBorder="1" applyFill="1" applyFont="1">
      <alignment horizontal="center" shrinkToFit="0" vertical="center" wrapText="0"/>
    </xf>
    <xf borderId="58" fillId="0" fontId="8" numFmtId="0" xfId="0" applyBorder="1" applyFont="1"/>
    <xf borderId="59" fillId="3" fontId="36" numFmtId="0" xfId="0" applyAlignment="1" applyBorder="1" applyFill="1" applyFont="1">
      <alignment horizontal="center" shrinkToFit="0" vertical="center" wrapText="0"/>
    </xf>
    <xf borderId="59" fillId="0" fontId="8" numFmtId="0" xfId="0" applyBorder="1" applyFont="1"/>
    <xf borderId="0" fillId="3" fontId="37" numFmtId="0" xfId="0" applyAlignment="1" applyFill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4" numFmtId="0" xfId="0" applyAlignment="1" applyFill="1" applyFont="1">
      <alignment horizontal="center" readingOrder="0" vertical="center"/>
    </xf>
    <xf borderId="49" fillId="0" fontId="2" numFmtId="0" xfId="0" applyAlignment="1" applyBorder="1" applyFont="1">
      <alignment vertical="center"/>
    </xf>
    <xf borderId="38" fillId="0" fontId="8" numFmtId="0" xfId="0" applyBorder="1" applyFont="1"/>
    <xf borderId="49" fillId="0" fontId="2" numFmtId="0" xfId="0" applyAlignment="1" applyBorder="1" applyFont="1">
      <alignment horizontal="center" vertical="center"/>
    </xf>
    <xf borderId="60" fillId="0" fontId="8" numFmtId="0" xfId="0" applyBorder="1" applyFont="1"/>
    <xf borderId="61" fillId="0" fontId="15" numFmtId="166" xfId="0" applyAlignment="1" applyBorder="1" applyFont="1" applyNumberFormat="1">
      <alignment horizontal="center" vertical="center"/>
    </xf>
    <xf borderId="15" fillId="3" fontId="2" numFmtId="0" xfId="0" applyAlignment="1" applyBorder="1" applyFill="1" applyFont="1">
      <alignment horizontal="center" shrinkToFit="0" vertical="center" wrapText="1"/>
    </xf>
    <xf borderId="62" fillId="0" fontId="8" numFmtId="0" xfId="0" applyBorder="1" applyFont="1"/>
    <xf borderId="41" fillId="0" fontId="6" numFmtId="0" xfId="0" applyAlignment="1" applyBorder="1" applyFont="1">
      <alignment horizontal="center" vertical="center"/>
    </xf>
    <xf borderId="63" fillId="0" fontId="8" numFmtId="0" xfId="0" applyBorder="1" applyFont="1"/>
    <xf borderId="64" fillId="0" fontId="6" numFmtId="0" xfId="0" applyAlignment="1" applyBorder="1" applyFont="1">
      <alignment horizontal="center" vertical="center"/>
    </xf>
    <xf borderId="50" fillId="0" fontId="2" numFmtId="0" xfId="0" applyAlignment="1" applyBorder="1" applyFont="1">
      <alignment horizontal="center" vertical="center"/>
    </xf>
    <xf borderId="51" fillId="0" fontId="2" numFmtId="0" xfId="0" applyAlignment="1" applyBorder="1" applyFont="1">
      <alignment horizontal="center" vertical="center"/>
    </xf>
    <xf borderId="38" fillId="0" fontId="2" numFmtId="0" xfId="0" applyAlignment="1" applyBorder="1" applyFont="1">
      <alignment horizontal="center" vertical="center"/>
    </xf>
    <xf borderId="40" fillId="0" fontId="2" numFmtId="0" xfId="0" applyAlignment="1" applyBorder="1" applyFont="1">
      <alignment horizontal="center" vertical="center"/>
    </xf>
    <xf borderId="65" fillId="3" fontId="2" numFmtId="0" xfId="0" applyAlignment="1" applyBorder="1" applyFill="1" applyFont="1">
      <alignment horizontal="center" shrinkToFit="0" vertical="center" wrapText="1"/>
    </xf>
    <xf borderId="41" fillId="0" fontId="38" numFmtId="0" xfId="0" applyAlignment="1" applyBorder="1" applyFont="1">
      <alignment horizontal="center" vertical="center"/>
    </xf>
    <xf borderId="0" fillId="3" fontId="2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-142875</xdr:rowOff>
    </xdr:from>
    <xdr:ext cx="2476500" cy="14001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-142875</xdr:rowOff>
    </xdr:from>
    <xdr:ext cx="2476500" cy="14001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-142875</xdr:rowOff>
    </xdr:from>
    <xdr:ext cx="2476500" cy="14001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-142875</xdr:rowOff>
    </xdr:from>
    <xdr:ext cx="2476500" cy="14001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76200</xdr:rowOff>
    </xdr:from>
    <xdr:ext cx="3114675" cy="10572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2.63"/>
    <col customWidth="1" min="3" max="3" width="47.5"/>
    <col customWidth="1" min="4" max="4" width="20.13"/>
    <col customWidth="1" min="5" max="5" width="33.0"/>
    <col customWidth="1" min="6" max="6" width="33.63"/>
    <col customWidth="1" min="7" max="7" width="32.5"/>
    <col customWidth="1" min="8" max="8" width="31.25"/>
    <col customWidth="1" min="9" max="9" width="15.5"/>
    <col customWidth="1" min="10" max="10" width="1.75"/>
    <col customWidth="1" min="11" max="12" width="13.25"/>
    <col customWidth="1" min="13" max="14" width="23.5"/>
    <col customWidth="1" min="15" max="15" width="1.75"/>
    <col customWidth="1" min="16" max="19" width="21.5"/>
    <col customWidth="1" min="20" max="20" width="4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1"/>
      <c r="S1" s="1"/>
      <c r="T1" s="2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3"/>
      <c r="Q2" s="3"/>
      <c r="R2" s="1"/>
      <c r="S2" s="1"/>
      <c r="T2" s="2"/>
    </row>
    <row r="3" ht="15.75" customHeight="1">
      <c r="A3" s="1"/>
      <c r="B3" s="1"/>
      <c r="C3" s="1"/>
      <c r="D3" s="1"/>
      <c r="E3" s="4"/>
      <c r="F3" s="1"/>
      <c r="G3" s="5"/>
      <c r="H3" s="1"/>
      <c r="I3" s="1"/>
      <c r="J3" s="1"/>
      <c r="K3" s="1"/>
      <c r="L3" s="1"/>
      <c r="M3" s="1"/>
      <c r="N3" s="1"/>
      <c r="O3" s="2"/>
      <c r="P3" s="3"/>
      <c r="Q3" s="3"/>
      <c r="R3" s="1"/>
      <c r="S3" s="1"/>
      <c r="T3" s="2"/>
    </row>
    <row r="4" ht="15.75" customHeight="1">
      <c r="A4" s="1"/>
      <c r="B4" s="6"/>
      <c r="D4" s="7"/>
      <c r="E4" s="4"/>
      <c r="F4" s="1"/>
      <c r="G4" s="5"/>
      <c r="H4" s="1"/>
      <c r="I4" s="1"/>
      <c r="J4" s="1"/>
      <c r="K4" s="1"/>
      <c r="L4" s="1"/>
      <c r="M4" s="1"/>
      <c r="N4" s="1"/>
      <c r="O4" s="2"/>
      <c r="P4" s="3"/>
      <c r="Q4" s="3"/>
      <c r="R4" s="1"/>
      <c r="S4" s="1"/>
      <c r="T4" s="2"/>
    </row>
    <row r="5" ht="15.75" customHeight="1">
      <c r="A5" s="1"/>
      <c r="B5" s="1"/>
      <c r="C5" s="1"/>
      <c r="D5" s="1"/>
      <c r="E5" s="4"/>
      <c r="F5" s="1"/>
      <c r="G5" s="5"/>
      <c r="H5" s="5"/>
      <c r="I5" s="1"/>
      <c r="J5" s="1"/>
      <c r="K5" s="1"/>
      <c r="L5" s="1"/>
      <c r="M5" s="1"/>
      <c r="N5" s="1"/>
      <c r="O5" s="2"/>
      <c r="P5" s="3"/>
      <c r="Q5" s="3"/>
      <c r="R5" s="1"/>
      <c r="S5" s="1"/>
      <c r="T5" s="2"/>
    </row>
    <row r="6" ht="15.75" customHeight="1">
      <c r="A6" s="1"/>
      <c r="B6" s="8" t="s">
        <v>0</v>
      </c>
      <c r="C6" s="9" t="s">
        <v>1</v>
      </c>
      <c r="D6" s="1"/>
      <c r="E6" s="4"/>
      <c r="F6" s="1"/>
      <c r="G6" s="5"/>
      <c r="H6" s="1"/>
      <c r="I6" s="1"/>
      <c r="J6" s="1"/>
      <c r="K6" s="1"/>
      <c r="L6" s="1"/>
      <c r="M6" s="1"/>
      <c r="N6" s="1"/>
      <c r="O6" s="2"/>
      <c r="P6" s="3"/>
      <c r="Q6" s="3"/>
      <c r="R6" s="1"/>
      <c r="S6" s="1"/>
      <c r="T6" s="2"/>
    </row>
    <row r="7" ht="15.75" customHeight="1">
      <c r="A7" s="1"/>
      <c r="B7" s="8" t="s">
        <v>2</v>
      </c>
      <c r="C7" s="10" t="s">
        <v>3</v>
      </c>
      <c r="D7" s="1"/>
      <c r="E7" s="4"/>
      <c r="F7" s="1"/>
      <c r="G7" s="5"/>
      <c r="H7" s="1"/>
      <c r="I7" s="1"/>
      <c r="J7" s="1"/>
      <c r="K7" s="1"/>
      <c r="L7" s="1"/>
      <c r="M7" s="1"/>
      <c r="N7" s="1"/>
      <c r="O7" s="2"/>
      <c r="P7" s="3"/>
      <c r="Q7" s="3"/>
      <c r="R7" s="1"/>
      <c r="S7" s="1"/>
      <c r="T7" s="2"/>
    </row>
    <row r="8" ht="15.75" customHeight="1">
      <c r="A8" s="1"/>
      <c r="B8" s="8" t="s">
        <v>4</v>
      </c>
      <c r="C8" s="11" t="s">
        <v>5</v>
      </c>
      <c r="D8" s="1"/>
      <c r="E8" s="4"/>
      <c r="F8" s="1"/>
      <c r="G8" s="5"/>
      <c r="H8" s="1"/>
      <c r="I8" s="1"/>
      <c r="J8" s="1"/>
      <c r="K8" s="1"/>
      <c r="L8" s="1"/>
      <c r="M8" s="1"/>
      <c r="N8" s="1"/>
      <c r="O8" s="2"/>
      <c r="P8" s="3"/>
      <c r="Q8" s="3"/>
      <c r="R8" s="1"/>
      <c r="S8" s="1"/>
      <c r="T8" s="2"/>
    </row>
    <row r="9">
      <c r="A9" s="1"/>
      <c r="B9" s="8" t="s">
        <v>6</v>
      </c>
      <c r="C9" s="12">
        <f>N71</f>
        <v>1600000</v>
      </c>
      <c r="D9" s="1"/>
      <c r="E9" s="4"/>
      <c r="F9" s="1"/>
      <c r="G9" s="1"/>
      <c r="H9" s="1"/>
      <c r="I9" s="1"/>
      <c r="J9" s="1"/>
      <c r="K9" s="1"/>
      <c r="L9" s="1"/>
      <c r="M9" s="1"/>
      <c r="N9" s="1"/>
      <c r="O9" s="3"/>
      <c r="P9" s="3"/>
      <c r="Q9" s="3"/>
      <c r="R9" s="1"/>
      <c r="S9" s="1"/>
      <c r="T9" s="3"/>
    </row>
    <row r="10">
      <c r="A10" s="1"/>
      <c r="B10" s="13" t="s">
        <v>8</v>
      </c>
      <c r="C10" s="14">
        <f>C9/80%</f>
        <v>2000000</v>
      </c>
      <c r="D10" s="1"/>
      <c r="E10" s="4"/>
      <c r="F10" s="1"/>
      <c r="G10" s="1"/>
      <c r="H10" s="1"/>
      <c r="I10" s="1"/>
      <c r="J10" s="1"/>
      <c r="K10" s="1"/>
      <c r="L10" s="1"/>
      <c r="M10" s="1"/>
      <c r="N10" s="1"/>
      <c r="O10" s="3"/>
      <c r="P10" s="3"/>
      <c r="Q10" s="3"/>
      <c r="R10" s="1"/>
      <c r="S10" s="1"/>
      <c r="T10" s="3"/>
    </row>
    <row r="11">
      <c r="A11" s="1"/>
      <c r="B11" s="8" t="s">
        <v>11</v>
      </c>
      <c r="C11" s="12">
        <f>N72</f>
        <v>400000</v>
      </c>
      <c r="D11" s="1"/>
      <c r="E11" s="4"/>
      <c r="F11" s="1"/>
      <c r="G11" s="1"/>
      <c r="H11" s="1"/>
      <c r="I11" s="1"/>
      <c r="J11" s="1"/>
      <c r="K11" s="1"/>
      <c r="L11" s="1"/>
      <c r="M11" s="1"/>
      <c r="N11" s="1"/>
      <c r="O11" s="3"/>
      <c r="P11" s="3"/>
      <c r="Q11" s="3"/>
      <c r="R11" s="1"/>
      <c r="S11" s="1"/>
      <c r="T11" s="3"/>
    </row>
    <row r="12" ht="15.75" customHeight="1">
      <c r="A12" s="1"/>
      <c r="B12" s="13" t="s">
        <v>12</v>
      </c>
      <c r="C12" s="14">
        <f>C11/80%</f>
        <v>500000</v>
      </c>
      <c r="D12" s="1"/>
      <c r="E12" s="4"/>
      <c r="F12" s="1"/>
      <c r="G12" s="1"/>
      <c r="H12" s="1"/>
      <c r="I12" s="1"/>
      <c r="J12" s="1"/>
      <c r="K12" s="1"/>
      <c r="L12" s="1"/>
      <c r="M12" s="1"/>
      <c r="N12" s="1"/>
      <c r="O12" s="2"/>
      <c r="P12" s="3"/>
      <c r="Q12" s="3"/>
      <c r="R12" s="1"/>
      <c r="S12" s="1"/>
      <c r="T12" s="2"/>
    </row>
    <row r="13" ht="15.75" customHeight="1">
      <c r="A13" s="1"/>
      <c r="B13" s="1"/>
      <c r="C13" s="1"/>
      <c r="D13" s="1"/>
      <c r="E13" s="4"/>
      <c r="F13" s="1"/>
      <c r="G13" s="1"/>
      <c r="H13" s="1"/>
      <c r="I13" s="1"/>
      <c r="J13" s="1"/>
      <c r="K13" s="1"/>
      <c r="L13" s="1"/>
      <c r="M13" s="1"/>
      <c r="N13" s="1"/>
      <c r="O13" s="2"/>
      <c r="P13" s="3"/>
      <c r="Q13" s="3"/>
      <c r="R13" s="1"/>
      <c r="S13" s="1"/>
      <c r="T13" s="2"/>
    </row>
    <row r="14" ht="15.75" customHeight="1">
      <c r="A14" s="1"/>
      <c r="B14" s="15" t="s">
        <v>10</v>
      </c>
    </row>
    <row r="15" ht="15.75" customHeight="1">
      <c r="A15" s="1"/>
      <c r="B15" s="1"/>
      <c r="C15" s="1"/>
      <c r="D15" s="1"/>
      <c r="E15" s="4"/>
      <c r="F15" s="1"/>
      <c r="G15" s="1"/>
      <c r="H15" s="1"/>
      <c r="I15" s="1"/>
      <c r="J15" s="1"/>
      <c r="K15" s="1"/>
      <c r="L15" s="1"/>
      <c r="M15" s="1"/>
      <c r="N15" s="1"/>
      <c r="O15" s="2"/>
      <c r="P15" s="3"/>
      <c r="Q15" s="3"/>
      <c r="R15" s="1"/>
      <c r="S15" s="1"/>
      <c r="T15" s="2"/>
    </row>
    <row r="16" ht="15.75" customHeight="1">
      <c r="A16" s="1"/>
      <c r="B16" s="16"/>
      <c r="C16" s="16"/>
      <c r="D16" s="17"/>
      <c r="E16" s="7"/>
      <c r="F16" s="1"/>
      <c r="G16" s="1"/>
      <c r="H16" s="17"/>
      <c r="I16" s="17"/>
      <c r="J16" s="18"/>
      <c r="K16" s="18"/>
      <c r="L16" s="18"/>
      <c r="M16" s="18"/>
      <c r="N16" s="18"/>
      <c r="O16" s="19"/>
      <c r="P16" s="20"/>
      <c r="Q16" s="20"/>
      <c r="R16" s="17"/>
      <c r="S16" s="17"/>
      <c r="T16" s="19"/>
    </row>
    <row r="17" ht="15.75" customHeight="1">
      <c r="A17" s="1"/>
      <c r="B17" s="21" t="s">
        <v>13</v>
      </c>
      <c r="D17" s="17"/>
      <c r="E17" s="7"/>
      <c r="F17" s="1"/>
      <c r="G17" s="1"/>
      <c r="H17" s="17"/>
      <c r="I17" s="17"/>
      <c r="J17" s="18"/>
      <c r="K17" s="18"/>
      <c r="L17" s="18"/>
      <c r="M17" s="18"/>
      <c r="N17" s="18"/>
      <c r="O17" s="19"/>
      <c r="P17" s="20"/>
      <c r="Q17" s="20"/>
      <c r="R17" s="17"/>
      <c r="S17" s="17"/>
      <c r="T17" s="19"/>
    </row>
    <row r="18" ht="7.5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22"/>
      <c r="P18" s="3"/>
      <c r="Q18" s="3"/>
      <c r="R18" s="1"/>
      <c r="S18" s="1"/>
      <c r="T18" s="22"/>
    </row>
    <row r="19" ht="15.75" customHeight="1">
      <c r="A19" s="1"/>
      <c r="B19" s="23" t="s">
        <v>14</v>
      </c>
      <c r="C19" s="23" t="s">
        <v>15</v>
      </c>
      <c r="D19" s="23" t="s">
        <v>16</v>
      </c>
      <c r="E19" s="23" t="s">
        <v>17</v>
      </c>
      <c r="F19" s="23" t="s">
        <v>18</v>
      </c>
      <c r="G19" s="23" t="s">
        <v>19</v>
      </c>
      <c r="H19" s="23" t="s">
        <v>20</v>
      </c>
      <c r="I19" s="24" t="s">
        <v>21</v>
      </c>
      <c r="J19" s="18"/>
      <c r="K19" s="23" t="s">
        <v>22</v>
      </c>
      <c r="L19" s="25" t="s">
        <v>23</v>
      </c>
      <c r="M19" s="26" t="s">
        <v>24</v>
      </c>
      <c r="N19" s="26" t="s">
        <v>25</v>
      </c>
      <c r="O19" s="27"/>
      <c r="P19" s="28" t="s">
        <v>26</v>
      </c>
      <c r="Q19" s="29" t="s">
        <v>27</v>
      </c>
      <c r="R19" s="23" t="s">
        <v>28</v>
      </c>
      <c r="S19" s="23" t="s">
        <v>29</v>
      </c>
      <c r="T19" s="27"/>
    </row>
    <row r="20" ht="7.5" customHeight="1">
      <c r="A20" s="1"/>
      <c r="B20" s="6"/>
      <c r="C20" s="6"/>
      <c r="D20" s="6"/>
      <c r="E20" s="6"/>
      <c r="F20" s="6"/>
      <c r="G20" s="6"/>
      <c r="H20" s="6"/>
      <c r="I20" s="6"/>
      <c r="J20" s="6"/>
      <c r="K20" s="6"/>
      <c r="L20" s="22"/>
      <c r="M20" s="22"/>
      <c r="N20" s="22"/>
      <c r="O20" s="22"/>
      <c r="P20" s="6"/>
      <c r="Q20" s="30"/>
      <c r="R20" s="1"/>
      <c r="S20" s="1"/>
      <c r="T20" s="22"/>
    </row>
    <row r="21" ht="28.5" customHeight="1">
      <c r="A21" s="1"/>
      <c r="B21" s="31" t="s">
        <v>30</v>
      </c>
      <c r="C21" s="32" t="s">
        <v>31</v>
      </c>
      <c r="D21" s="33" t="s">
        <v>32</v>
      </c>
      <c r="E21" s="34" t="s">
        <v>33</v>
      </c>
      <c r="F21" s="34" t="s">
        <v>34</v>
      </c>
      <c r="G21" s="34" t="s">
        <v>35</v>
      </c>
      <c r="H21" s="34" t="s">
        <v>36</v>
      </c>
      <c r="I21" s="34">
        <v>4.0</v>
      </c>
      <c r="J21" s="35"/>
      <c r="K21" s="36" t="s">
        <v>37</v>
      </c>
      <c r="L21" s="37">
        <v>10.8</v>
      </c>
      <c r="M21" s="38">
        <f>N21/80%</f>
        <v>125000</v>
      </c>
      <c r="N21" s="38">
        <v>100000.0</v>
      </c>
      <c r="O21" s="39"/>
      <c r="P21" s="40">
        <f>N21/L21*1000</f>
        <v>9259259.259</v>
      </c>
      <c r="Q21" s="41">
        <v>0.003</v>
      </c>
      <c r="R21" s="42">
        <f>P21*Q21</f>
        <v>27777.77778</v>
      </c>
      <c r="S21" s="43">
        <v>0.7</v>
      </c>
      <c r="T21" s="39"/>
    </row>
    <row r="22" ht="28.5" customHeight="1">
      <c r="A22" s="1"/>
      <c r="B22" s="44"/>
      <c r="C22" s="45" t="s">
        <v>38</v>
      </c>
      <c r="D22" s="44"/>
      <c r="E22" s="44"/>
      <c r="F22" s="44"/>
      <c r="G22" s="44"/>
      <c r="H22" s="44"/>
      <c r="I22" s="44"/>
      <c r="J22" s="35"/>
      <c r="K22" s="46"/>
      <c r="L22" s="47"/>
      <c r="M22" s="48"/>
      <c r="N22" s="48"/>
      <c r="P22" s="44"/>
      <c r="R22" s="48"/>
      <c r="S22" s="49"/>
      <c r="T22" s="39"/>
    </row>
    <row r="23" ht="28.5" customHeight="1">
      <c r="A23" s="1"/>
      <c r="B23" s="44"/>
      <c r="C23" s="45" t="s">
        <v>39</v>
      </c>
      <c r="D23" s="44"/>
      <c r="E23" s="44"/>
      <c r="F23" s="44"/>
      <c r="G23" s="44"/>
      <c r="H23" s="44"/>
      <c r="I23" s="44"/>
      <c r="J23" s="35"/>
      <c r="K23" s="46"/>
      <c r="L23" s="47"/>
      <c r="M23" s="48"/>
      <c r="N23" s="48"/>
      <c r="P23" s="44"/>
      <c r="R23" s="48"/>
      <c r="S23" s="49"/>
      <c r="T23" s="39"/>
    </row>
    <row r="24" ht="28.5" customHeight="1">
      <c r="A24" s="1"/>
      <c r="B24" s="44"/>
      <c r="C24" s="45" t="s">
        <v>40</v>
      </c>
      <c r="D24" s="44"/>
      <c r="E24" s="44"/>
      <c r="F24" s="44"/>
      <c r="G24" s="44"/>
      <c r="H24" s="44"/>
      <c r="I24" s="44"/>
      <c r="J24" s="35"/>
      <c r="K24" s="46"/>
      <c r="L24" s="47"/>
      <c r="M24" s="48"/>
      <c r="N24" s="48"/>
      <c r="P24" s="44"/>
      <c r="R24" s="48"/>
      <c r="S24" s="49"/>
      <c r="T24" s="39"/>
    </row>
    <row r="25" ht="28.5" customHeight="1">
      <c r="A25" s="1"/>
      <c r="B25" s="44"/>
      <c r="C25" s="45" t="s">
        <v>41</v>
      </c>
      <c r="D25" s="44"/>
      <c r="E25" s="44"/>
      <c r="F25" s="44"/>
      <c r="G25" s="44"/>
      <c r="H25" s="44"/>
      <c r="I25" s="44"/>
      <c r="J25" s="35"/>
      <c r="K25" s="46"/>
      <c r="L25" s="47"/>
      <c r="M25" s="48"/>
      <c r="N25" s="48"/>
      <c r="P25" s="44"/>
      <c r="R25" s="48"/>
      <c r="S25" s="49"/>
      <c r="T25" s="39"/>
    </row>
    <row r="26" ht="28.5" customHeight="1">
      <c r="A26" s="1"/>
      <c r="B26" s="44"/>
      <c r="C26" s="45" t="s">
        <v>42</v>
      </c>
      <c r="D26" s="44"/>
      <c r="E26" s="44"/>
      <c r="F26" s="44"/>
      <c r="G26" s="44"/>
      <c r="H26" s="44"/>
      <c r="I26" s="44"/>
      <c r="J26" s="35"/>
      <c r="K26" s="46"/>
      <c r="L26" s="47"/>
      <c r="M26" s="48"/>
      <c r="N26" s="48"/>
      <c r="P26" s="44"/>
      <c r="R26" s="48"/>
      <c r="S26" s="49"/>
      <c r="T26" s="39"/>
    </row>
    <row r="27" ht="32.25" customHeight="1">
      <c r="A27" s="1"/>
      <c r="B27" s="44"/>
      <c r="C27" s="45" t="s">
        <v>43</v>
      </c>
      <c r="D27" s="44"/>
      <c r="E27" s="44"/>
      <c r="F27" s="34" t="s">
        <v>44</v>
      </c>
      <c r="G27" s="44"/>
      <c r="H27" s="34" t="s">
        <v>45</v>
      </c>
      <c r="I27" s="44"/>
      <c r="J27" s="35"/>
      <c r="K27" s="46"/>
      <c r="L27" s="47"/>
      <c r="M27" s="48"/>
      <c r="N27" s="48"/>
      <c r="P27" s="44"/>
      <c r="R27" s="48"/>
      <c r="S27" s="49"/>
      <c r="T27" s="39"/>
    </row>
    <row r="28" ht="32.25" customHeight="1">
      <c r="A28" s="1"/>
      <c r="B28" s="51"/>
      <c r="C28" s="45" t="s">
        <v>46</v>
      </c>
      <c r="D28" s="51"/>
      <c r="E28" s="51"/>
      <c r="F28" s="34" t="s">
        <v>47</v>
      </c>
      <c r="G28" s="51"/>
      <c r="H28" s="34" t="s">
        <v>45</v>
      </c>
      <c r="I28" s="51"/>
      <c r="J28" s="35"/>
      <c r="K28" s="55"/>
      <c r="L28" s="56"/>
      <c r="M28" s="48"/>
      <c r="N28" s="48"/>
      <c r="P28" s="44"/>
      <c r="R28" s="48"/>
      <c r="S28" s="49"/>
      <c r="T28" s="39"/>
    </row>
    <row r="29" ht="15.75" customHeight="1">
      <c r="A29" s="58"/>
      <c r="B29" s="59"/>
      <c r="C29" s="60"/>
      <c r="D29" s="60"/>
      <c r="E29" s="60"/>
      <c r="F29" s="60"/>
      <c r="G29" s="60"/>
      <c r="H29" s="61"/>
      <c r="I29" s="24"/>
      <c r="J29" s="60"/>
      <c r="K29" s="61"/>
      <c r="L29" s="25">
        <f>N29/P29*1000</f>
        <v>10.8</v>
      </c>
      <c r="M29" s="25">
        <f t="shared" ref="M29:N29" si="1">SUM(M21:M28)</f>
        <v>125000</v>
      </c>
      <c r="N29" s="25">
        <f t="shared" si="1"/>
        <v>100000</v>
      </c>
      <c r="O29" s="62"/>
      <c r="P29" s="63">
        <f>SUM(P21:P28)</f>
        <v>9259259.259</v>
      </c>
      <c r="Q29" s="64">
        <f>MEDIAN(Q21:Q28)</f>
        <v>0.003</v>
      </c>
      <c r="R29" s="63">
        <f t="shared" ref="R29:S29" si="2">SUM(R21:R28)</f>
        <v>27777.77778</v>
      </c>
      <c r="S29" s="65">
        <f t="shared" si="2"/>
        <v>0.7</v>
      </c>
      <c r="T29" s="62"/>
    </row>
    <row r="30" ht="15.75" customHeight="1">
      <c r="A30" s="1"/>
      <c r="B30" s="66"/>
      <c r="C30" s="66"/>
      <c r="D30" s="18"/>
      <c r="E30" s="7"/>
      <c r="F30" s="1"/>
      <c r="G30" s="1"/>
      <c r="H30" s="18"/>
      <c r="I30" s="18"/>
      <c r="J30" s="18"/>
      <c r="K30" s="18"/>
      <c r="L30" s="18"/>
      <c r="M30" s="18"/>
      <c r="N30" s="18"/>
      <c r="O30" s="19"/>
      <c r="P30" s="67"/>
      <c r="Q30" s="67"/>
      <c r="R30" s="18"/>
      <c r="S30" s="18"/>
      <c r="T30" s="19"/>
    </row>
    <row r="31" ht="15.75" customHeight="1">
      <c r="A31" s="1"/>
      <c r="B31" s="68" t="s">
        <v>48</v>
      </c>
      <c r="D31" s="17"/>
      <c r="E31" s="7"/>
      <c r="F31" s="1"/>
      <c r="G31" s="1"/>
      <c r="H31" s="17"/>
      <c r="I31" s="17"/>
      <c r="J31" s="18"/>
      <c r="K31" s="18"/>
      <c r="L31" s="18"/>
      <c r="M31" s="18"/>
      <c r="N31" s="18"/>
      <c r="O31" s="19"/>
      <c r="P31" s="20"/>
      <c r="Q31" s="20"/>
      <c r="R31" s="17"/>
      <c r="S31" s="17"/>
      <c r="T31" s="19"/>
    </row>
    <row r="32" ht="7.5" customHeight="1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22"/>
      <c r="P32" s="3"/>
      <c r="Q32" s="3"/>
      <c r="R32" s="1"/>
      <c r="S32" s="1"/>
      <c r="T32" s="22"/>
    </row>
    <row r="33" ht="15.75" customHeight="1">
      <c r="A33" s="1"/>
      <c r="B33" s="23" t="s">
        <v>14</v>
      </c>
      <c r="C33" s="23" t="s">
        <v>15</v>
      </c>
      <c r="D33" s="23" t="s">
        <v>16</v>
      </c>
      <c r="E33" s="23" t="s">
        <v>17</v>
      </c>
      <c r="F33" s="23" t="s">
        <v>18</v>
      </c>
      <c r="G33" s="23" t="s">
        <v>19</v>
      </c>
      <c r="H33" s="23" t="s">
        <v>20</v>
      </c>
      <c r="I33" s="24" t="s">
        <v>21</v>
      </c>
      <c r="J33" s="18"/>
      <c r="K33" s="23" t="s">
        <v>22</v>
      </c>
      <c r="L33" s="25" t="s">
        <v>23</v>
      </c>
      <c r="M33" s="26" t="s">
        <v>24</v>
      </c>
      <c r="N33" s="26" t="s">
        <v>25</v>
      </c>
      <c r="O33" s="27"/>
      <c r="P33" s="69" t="s">
        <v>26</v>
      </c>
      <c r="Q33" s="8" t="s">
        <v>49</v>
      </c>
      <c r="R33" s="8" t="s">
        <v>50</v>
      </c>
      <c r="S33" s="23" t="s">
        <v>29</v>
      </c>
      <c r="T33" s="27"/>
    </row>
    <row r="34" ht="7.5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22"/>
      <c r="M34" s="22"/>
      <c r="N34" s="22"/>
      <c r="O34" s="22"/>
      <c r="P34" s="6"/>
      <c r="Q34" s="30"/>
      <c r="R34" s="30"/>
      <c r="S34" s="1"/>
      <c r="T34" s="22"/>
    </row>
    <row r="35" ht="27.75" customHeight="1">
      <c r="A35" s="1"/>
      <c r="B35" s="31" t="s">
        <v>30</v>
      </c>
      <c r="C35" s="32" t="s">
        <v>51</v>
      </c>
      <c r="D35" s="33" t="s">
        <v>32</v>
      </c>
      <c r="E35" s="34" t="s">
        <v>52</v>
      </c>
      <c r="F35" s="34" t="str">
        <f t="shared" ref="F35:I35" si="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35" s="34" t="str">
        <f t="shared" si="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35" s="34" t="str">
        <f t="shared" si="3"/>
        <v>Brasil</v>
      </c>
      <c r="I35" s="34">
        <f t="shared" si="3"/>
        <v>4</v>
      </c>
      <c r="J35" s="35"/>
      <c r="K35" s="72" t="s">
        <v>37</v>
      </c>
      <c r="L35" s="37">
        <v>40.0</v>
      </c>
      <c r="M35" s="74">
        <f t="shared" ref="M35:M36" si="4">N35/80%</f>
        <v>87500</v>
      </c>
      <c r="N35" s="74">
        <v>70000.0</v>
      </c>
      <c r="O35" s="39"/>
      <c r="P35" s="75">
        <f t="shared" ref="P35:P36" si="5">N35/L35*1000</f>
        <v>1750000</v>
      </c>
      <c r="Q35" s="76">
        <v>0.9</v>
      </c>
      <c r="R35" s="75">
        <f t="shared" ref="R35:R36" si="6">P35*Q35</f>
        <v>1575000</v>
      </c>
      <c r="S35" s="79">
        <v>0.7</v>
      </c>
      <c r="T35" s="39"/>
    </row>
    <row r="36" ht="27.75" customHeight="1">
      <c r="A36" s="1"/>
      <c r="B36" s="44"/>
      <c r="C36" s="32" t="s">
        <v>31</v>
      </c>
      <c r="D36" s="44"/>
      <c r="E36" s="34" t="s">
        <v>53</v>
      </c>
      <c r="F36" s="44"/>
      <c r="G36" s="44"/>
      <c r="H36" s="44"/>
      <c r="I36" s="44"/>
      <c r="J36" s="35"/>
      <c r="K36" s="46"/>
      <c r="L36" s="37">
        <v>24.0</v>
      </c>
      <c r="M36" s="74">
        <f t="shared" si="4"/>
        <v>150000</v>
      </c>
      <c r="N36" s="74">
        <v>120000.0</v>
      </c>
      <c r="O36" s="39"/>
      <c r="P36" s="75">
        <f t="shared" si="5"/>
        <v>5000000</v>
      </c>
      <c r="Q36" s="79">
        <v>0.4</v>
      </c>
      <c r="R36" s="75">
        <f t="shared" si="6"/>
        <v>2000000</v>
      </c>
      <c r="S36" s="48"/>
      <c r="T36" s="39"/>
    </row>
    <row r="37" ht="27.75" customHeight="1">
      <c r="A37" s="1"/>
      <c r="B37" s="44"/>
      <c r="C37" s="45" t="s">
        <v>38</v>
      </c>
      <c r="D37" s="44"/>
      <c r="E37" s="44"/>
      <c r="F37" s="44"/>
      <c r="G37" s="44"/>
      <c r="H37" s="44"/>
      <c r="I37" s="44"/>
      <c r="J37" s="35"/>
      <c r="K37" s="46"/>
      <c r="L37" s="47"/>
      <c r="M37" s="84"/>
      <c r="N37" s="84"/>
      <c r="P37" s="46"/>
      <c r="Q37" s="48"/>
      <c r="R37" s="46"/>
      <c r="S37" s="48"/>
      <c r="T37" s="39"/>
    </row>
    <row r="38" ht="27.75" customHeight="1">
      <c r="A38" s="1"/>
      <c r="B38" s="44"/>
      <c r="C38" s="45" t="s">
        <v>39</v>
      </c>
      <c r="D38" s="44"/>
      <c r="E38" s="44"/>
      <c r="F38" s="44"/>
      <c r="G38" s="44"/>
      <c r="H38" s="44"/>
      <c r="I38" s="44"/>
      <c r="J38" s="35"/>
      <c r="K38" s="46"/>
      <c r="L38" s="47"/>
      <c r="M38" s="84"/>
      <c r="N38" s="84"/>
      <c r="P38" s="46"/>
      <c r="Q38" s="48"/>
      <c r="R38" s="46"/>
      <c r="S38" s="48"/>
      <c r="T38" s="39"/>
    </row>
    <row r="39" ht="27.75" customHeight="1">
      <c r="A39" s="1"/>
      <c r="B39" s="44"/>
      <c r="C39" s="45" t="s">
        <v>40</v>
      </c>
      <c r="D39" s="44"/>
      <c r="E39" s="44"/>
      <c r="F39" s="44"/>
      <c r="G39" s="44"/>
      <c r="H39" s="44"/>
      <c r="I39" s="44"/>
      <c r="J39" s="35"/>
      <c r="K39" s="46"/>
      <c r="L39" s="47"/>
      <c r="M39" s="84"/>
      <c r="N39" s="84"/>
      <c r="P39" s="46"/>
      <c r="Q39" s="48"/>
      <c r="R39" s="46"/>
      <c r="S39" s="48"/>
      <c r="T39" s="39"/>
    </row>
    <row r="40" ht="27.75" customHeight="1">
      <c r="A40" s="1"/>
      <c r="B40" s="44"/>
      <c r="C40" s="45" t="s">
        <v>41</v>
      </c>
      <c r="D40" s="44"/>
      <c r="E40" s="44"/>
      <c r="F40" s="44"/>
      <c r="G40" s="44"/>
      <c r="H40" s="44"/>
      <c r="I40" s="44"/>
      <c r="J40" s="35"/>
      <c r="K40" s="46"/>
      <c r="L40" s="47"/>
      <c r="M40" s="84"/>
      <c r="N40" s="84"/>
      <c r="P40" s="46"/>
      <c r="Q40" s="48"/>
      <c r="R40" s="46"/>
      <c r="S40" s="48"/>
      <c r="T40" s="39"/>
    </row>
    <row r="41" ht="27.75" customHeight="1">
      <c r="A41" s="1"/>
      <c r="B41" s="51"/>
      <c r="C41" s="45" t="s">
        <v>42</v>
      </c>
      <c r="D41" s="51"/>
      <c r="E41" s="51"/>
      <c r="F41" s="51"/>
      <c r="G41" s="51"/>
      <c r="H41" s="51"/>
      <c r="I41" s="51"/>
      <c r="J41" s="35"/>
      <c r="K41" s="55"/>
      <c r="L41" s="56"/>
      <c r="M41" s="84"/>
      <c r="N41" s="84"/>
      <c r="P41" s="46"/>
      <c r="Q41" s="85"/>
      <c r="R41" s="46"/>
      <c r="S41" s="85"/>
      <c r="T41" s="39"/>
    </row>
    <row r="42" ht="15.75" customHeight="1">
      <c r="A42" s="58"/>
      <c r="B42" s="59"/>
      <c r="C42" s="60"/>
      <c r="D42" s="60"/>
      <c r="E42" s="60"/>
      <c r="F42" s="60"/>
      <c r="G42" s="60"/>
      <c r="H42" s="61"/>
      <c r="I42" s="86"/>
      <c r="J42" s="87"/>
      <c r="K42" s="88"/>
      <c r="L42" s="25">
        <f>N42/P42*1000</f>
        <v>28.14814815</v>
      </c>
      <c r="M42" s="25">
        <f t="shared" ref="M42:N42" si="7">SUM(M35:M41)</f>
        <v>237500</v>
      </c>
      <c r="N42" s="25">
        <f t="shared" si="7"/>
        <v>190000</v>
      </c>
      <c r="O42" s="62"/>
      <c r="P42" s="63">
        <f>SUM(P35:P41)</f>
        <v>6750000</v>
      </c>
      <c r="Q42" s="89">
        <f>R42/P42</f>
        <v>0.5296296296</v>
      </c>
      <c r="R42" s="63">
        <f>SUM(R35:R41)</f>
        <v>3575000</v>
      </c>
      <c r="S42" s="90">
        <f>S35</f>
        <v>0.7</v>
      </c>
      <c r="T42" s="62"/>
    </row>
    <row r="43">
      <c r="A43" s="1"/>
      <c r="B43" s="91"/>
      <c r="C43" s="5"/>
      <c r="D43" s="1"/>
      <c r="E43" s="1"/>
      <c r="F43" s="5"/>
      <c r="G43" s="5"/>
      <c r="H43" s="5"/>
      <c r="I43" s="5"/>
      <c r="J43" s="35"/>
      <c r="K43" s="1"/>
      <c r="L43" s="39"/>
      <c r="M43" s="39"/>
      <c r="N43" s="39"/>
      <c r="O43" s="39"/>
      <c r="P43" s="35"/>
      <c r="Q43" s="92"/>
      <c r="R43" s="35"/>
      <c r="S43" s="93"/>
      <c r="T43" s="39"/>
    </row>
    <row r="44" ht="15.75" customHeight="1">
      <c r="A44" s="1"/>
      <c r="B44" s="68" t="s">
        <v>54</v>
      </c>
      <c r="D44" s="17"/>
      <c r="E44" s="7"/>
      <c r="F44" s="1"/>
      <c r="G44" s="1"/>
      <c r="H44" s="17"/>
      <c r="I44" s="17"/>
      <c r="J44" s="18"/>
      <c r="K44" s="18"/>
      <c r="L44" s="18"/>
      <c r="M44" s="18"/>
      <c r="N44" s="18"/>
      <c r="O44" s="19"/>
      <c r="P44" s="20"/>
      <c r="Q44" s="20"/>
      <c r="R44" s="17"/>
      <c r="S44" s="17"/>
      <c r="T44" s="19"/>
    </row>
    <row r="45" ht="7.5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2"/>
      <c r="P45" s="3"/>
      <c r="Q45" s="3"/>
      <c r="R45" s="1"/>
      <c r="S45" s="1"/>
      <c r="T45" s="22"/>
    </row>
    <row r="46" ht="15.75" customHeight="1">
      <c r="A46" s="1"/>
      <c r="B46" s="23" t="s">
        <v>14</v>
      </c>
      <c r="C46" s="23" t="s">
        <v>15</v>
      </c>
      <c r="D46" s="23" t="s">
        <v>16</v>
      </c>
      <c r="E46" s="23" t="s">
        <v>17</v>
      </c>
      <c r="F46" s="23" t="s">
        <v>18</v>
      </c>
      <c r="G46" s="23" t="s">
        <v>19</v>
      </c>
      <c r="H46" s="23" t="s">
        <v>20</v>
      </c>
      <c r="I46" s="24" t="s">
        <v>21</v>
      </c>
      <c r="J46" s="18"/>
      <c r="K46" s="23" t="s">
        <v>22</v>
      </c>
      <c r="L46" s="25" t="s">
        <v>23</v>
      </c>
      <c r="M46" s="26" t="s">
        <v>24</v>
      </c>
      <c r="N46" s="26" t="s">
        <v>25</v>
      </c>
      <c r="O46" s="27"/>
      <c r="P46" s="28" t="s">
        <v>26</v>
      </c>
      <c r="Q46" s="29" t="s">
        <v>27</v>
      </c>
      <c r="R46" s="23" t="s">
        <v>28</v>
      </c>
      <c r="S46" s="23" t="s">
        <v>29</v>
      </c>
      <c r="T46" s="27"/>
    </row>
    <row r="47" ht="7.5" customHeight="1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22"/>
      <c r="M47" s="22"/>
      <c r="N47" s="22"/>
      <c r="O47" s="22"/>
      <c r="P47" s="6"/>
      <c r="Q47" s="30"/>
      <c r="R47" s="1"/>
      <c r="S47" s="1"/>
      <c r="T47" s="22"/>
    </row>
    <row r="48" ht="25.5" customHeight="1">
      <c r="A48" s="1"/>
      <c r="B48" s="31" t="s">
        <v>30</v>
      </c>
      <c r="C48" s="94" t="s">
        <v>55</v>
      </c>
      <c r="D48" s="34" t="s">
        <v>56</v>
      </c>
      <c r="E48" s="95" t="s">
        <v>57</v>
      </c>
      <c r="F48" s="34" t="str">
        <f t="shared" ref="F48:I48" si="8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48" s="34" t="str">
        <f t="shared" si="8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48" s="34" t="str">
        <f t="shared" si="8"/>
        <v>Brasil</v>
      </c>
      <c r="I48" s="34">
        <f t="shared" si="8"/>
        <v>4</v>
      </c>
      <c r="J48" s="35"/>
      <c r="K48" s="72" t="s">
        <v>37</v>
      </c>
      <c r="L48" s="96">
        <v>203.0</v>
      </c>
      <c r="M48" s="38">
        <f t="shared" ref="M48:M52" si="9">N48/80%</f>
        <v>250000</v>
      </c>
      <c r="N48" s="38">
        <v>200000.0</v>
      </c>
      <c r="O48" s="39"/>
      <c r="P48" s="40">
        <f t="shared" ref="P48:P52" si="10">N48/L48*1000</f>
        <v>985221.6749</v>
      </c>
      <c r="Q48" s="97">
        <v>0.0</v>
      </c>
      <c r="R48" s="42">
        <f t="shared" ref="R48:R52" si="11">P48*Q48</f>
        <v>0</v>
      </c>
      <c r="S48" s="76">
        <v>0.98</v>
      </c>
      <c r="T48" s="39"/>
    </row>
    <row r="49" ht="25.5" customHeight="1">
      <c r="A49" s="1"/>
      <c r="B49" s="44"/>
      <c r="C49" s="94" t="s">
        <v>58</v>
      </c>
      <c r="D49" s="34" t="s">
        <v>56</v>
      </c>
      <c r="E49" s="95" t="s">
        <v>57</v>
      </c>
      <c r="F49" s="44"/>
      <c r="G49" s="44"/>
      <c r="H49" s="44"/>
      <c r="I49" s="44"/>
      <c r="J49" s="35"/>
      <c r="K49" s="46"/>
      <c r="L49" s="96">
        <v>155.0</v>
      </c>
      <c r="M49" s="38">
        <f t="shared" si="9"/>
        <v>250000</v>
      </c>
      <c r="N49" s="38">
        <v>200000.0</v>
      </c>
      <c r="O49" s="39"/>
      <c r="P49" s="40">
        <f t="shared" si="10"/>
        <v>1290322.581</v>
      </c>
      <c r="Q49" s="97">
        <v>0.0</v>
      </c>
      <c r="R49" s="42">
        <f t="shared" si="11"/>
        <v>0</v>
      </c>
      <c r="S49" s="76">
        <v>0.98</v>
      </c>
      <c r="T49" s="39"/>
    </row>
    <row r="50" ht="25.5" customHeight="1">
      <c r="A50" s="1"/>
      <c r="B50" s="44"/>
      <c r="C50" s="94" t="s">
        <v>59</v>
      </c>
      <c r="D50" s="34" t="s">
        <v>56</v>
      </c>
      <c r="E50" s="95" t="s">
        <v>57</v>
      </c>
      <c r="F50" s="44"/>
      <c r="G50" s="44"/>
      <c r="H50" s="44"/>
      <c r="I50" s="44"/>
      <c r="J50" s="35"/>
      <c r="K50" s="46"/>
      <c r="L50" s="96">
        <v>177.0</v>
      </c>
      <c r="M50" s="38">
        <f t="shared" si="9"/>
        <v>250000</v>
      </c>
      <c r="N50" s="38">
        <v>200000.0</v>
      </c>
      <c r="O50" s="39"/>
      <c r="P50" s="40">
        <f t="shared" si="10"/>
        <v>1129943.503</v>
      </c>
      <c r="Q50" s="97">
        <v>0.0</v>
      </c>
      <c r="R50" s="42">
        <f t="shared" si="11"/>
        <v>0</v>
      </c>
      <c r="S50" s="76">
        <v>0.98</v>
      </c>
      <c r="T50" s="39"/>
    </row>
    <row r="51" ht="25.5" customHeight="1">
      <c r="A51" s="1"/>
      <c r="B51" s="44"/>
      <c r="C51" s="94" t="s">
        <v>60</v>
      </c>
      <c r="D51" s="34" t="s">
        <v>56</v>
      </c>
      <c r="E51" s="95" t="s">
        <v>57</v>
      </c>
      <c r="F51" s="44"/>
      <c r="G51" s="44"/>
      <c r="H51" s="44"/>
      <c r="I51" s="44"/>
      <c r="J51" s="35"/>
      <c r="K51" s="46"/>
      <c r="L51" s="96">
        <v>198.0</v>
      </c>
      <c r="M51" s="38">
        <f t="shared" si="9"/>
        <v>500000</v>
      </c>
      <c r="N51" s="38">
        <v>400000.0</v>
      </c>
      <c r="O51" s="39"/>
      <c r="P51" s="40">
        <f t="shared" si="10"/>
        <v>2020202.02</v>
      </c>
      <c r="Q51" s="97">
        <v>0.0</v>
      </c>
      <c r="R51" s="42">
        <f t="shared" si="11"/>
        <v>0</v>
      </c>
      <c r="S51" s="76">
        <v>0.98</v>
      </c>
      <c r="T51" s="39"/>
    </row>
    <row r="52" ht="25.5" customHeight="1">
      <c r="A52" s="1"/>
      <c r="B52" s="51"/>
      <c r="C52" s="94" t="s">
        <v>61</v>
      </c>
      <c r="D52" s="33" t="s">
        <v>32</v>
      </c>
      <c r="E52" s="95" t="s">
        <v>62</v>
      </c>
      <c r="F52" s="51"/>
      <c r="G52" s="51"/>
      <c r="H52" s="51"/>
      <c r="I52" s="51"/>
      <c r="J52" s="35"/>
      <c r="K52" s="55"/>
      <c r="L52" s="96">
        <v>25.0</v>
      </c>
      <c r="M52" s="38">
        <f t="shared" si="9"/>
        <v>150000</v>
      </c>
      <c r="N52" s="38">
        <v>120000.0</v>
      </c>
      <c r="O52" s="39"/>
      <c r="P52" s="40">
        <f t="shared" si="10"/>
        <v>4800000</v>
      </c>
      <c r="Q52" s="106">
        <v>0.01</v>
      </c>
      <c r="R52" s="42">
        <f t="shared" si="11"/>
        <v>48000</v>
      </c>
      <c r="S52" s="76">
        <v>0.7</v>
      </c>
      <c r="T52" s="39"/>
    </row>
    <row r="53" ht="15.75" customHeight="1">
      <c r="A53" s="58"/>
      <c r="B53" s="59"/>
      <c r="C53" s="60"/>
      <c r="D53" s="60"/>
      <c r="E53" s="60"/>
      <c r="F53" s="60"/>
      <c r="G53" s="60"/>
      <c r="H53" s="61"/>
      <c r="I53" s="86"/>
      <c r="J53" s="87"/>
      <c r="K53" s="88"/>
      <c r="L53" s="25">
        <f>N53/P53*1000</f>
        <v>109.5280636</v>
      </c>
      <c r="M53" s="25">
        <f t="shared" ref="M53:N53" si="12">SUM(M48:M52)</f>
        <v>1400000</v>
      </c>
      <c r="N53" s="25">
        <f t="shared" si="12"/>
        <v>1120000</v>
      </c>
      <c r="O53" s="62"/>
      <c r="P53" s="63">
        <f>SUM(P48:P52)</f>
        <v>10225689.78</v>
      </c>
      <c r="Q53" s="107" t="s">
        <v>63</v>
      </c>
      <c r="R53" s="63">
        <f>SUM(R48:R52)</f>
        <v>48000</v>
      </c>
      <c r="S53" s="108" t="s">
        <v>63</v>
      </c>
      <c r="T53" s="62"/>
    </row>
    <row r="54">
      <c r="A54" s="1"/>
      <c r="B54" s="91"/>
      <c r="C54" s="5"/>
      <c r="D54" s="1"/>
      <c r="E54" s="1"/>
      <c r="F54" s="5"/>
      <c r="G54" s="5"/>
      <c r="H54" s="5"/>
      <c r="I54" s="5"/>
      <c r="J54" s="35"/>
      <c r="K54" s="1"/>
      <c r="L54" s="39"/>
      <c r="M54" s="39"/>
      <c r="N54" s="39"/>
      <c r="O54" s="39"/>
      <c r="P54" s="35"/>
      <c r="Q54" s="92"/>
      <c r="R54" s="35"/>
      <c r="S54" s="93"/>
      <c r="T54" s="39"/>
    </row>
    <row r="55" ht="15.75" customHeight="1">
      <c r="A55" s="1"/>
      <c r="B55" s="68" t="s">
        <v>64</v>
      </c>
      <c r="D55" s="17"/>
      <c r="E55" s="7"/>
      <c r="F55" s="1"/>
      <c r="G55" s="1"/>
      <c r="H55" s="17"/>
      <c r="I55" s="17"/>
      <c r="J55" s="18"/>
      <c r="K55" s="18"/>
      <c r="L55" s="18"/>
      <c r="M55" s="18"/>
      <c r="N55" s="18"/>
      <c r="O55" s="19"/>
      <c r="P55" s="20"/>
      <c r="Q55" s="20"/>
      <c r="R55" s="17"/>
      <c r="S55" s="17"/>
      <c r="T55" s="19"/>
    </row>
    <row r="56" ht="7.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22"/>
      <c r="P56" s="3"/>
      <c r="Q56" s="3"/>
      <c r="R56" s="1"/>
      <c r="S56" s="1"/>
      <c r="T56" s="22"/>
    </row>
    <row r="57" ht="15.75" customHeight="1">
      <c r="A57" s="1"/>
      <c r="B57" s="23" t="s">
        <v>14</v>
      </c>
      <c r="C57" s="23" t="s">
        <v>15</v>
      </c>
      <c r="D57" s="23" t="s">
        <v>16</v>
      </c>
      <c r="E57" s="23" t="s">
        <v>17</v>
      </c>
      <c r="F57" s="23" t="s">
        <v>18</v>
      </c>
      <c r="G57" s="23" t="s">
        <v>19</v>
      </c>
      <c r="H57" s="23" t="s">
        <v>20</v>
      </c>
      <c r="I57" s="24" t="s">
        <v>21</v>
      </c>
      <c r="J57" s="18"/>
      <c r="K57" s="23" t="s">
        <v>22</v>
      </c>
      <c r="L57" s="25" t="s">
        <v>23</v>
      </c>
      <c r="M57" s="26" t="s">
        <v>24</v>
      </c>
      <c r="N57" s="26" t="s">
        <v>25</v>
      </c>
      <c r="O57" s="27"/>
      <c r="P57" s="28" t="s">
        <v>26</v>
      </c>
      <c r="Q57" s="26" t="s">
        <v>27</v>
      </c>
      <c r="R57" s="109" t="s">
        <v>28</v>
      </c>
      <c r="S57" s="23" t="s">
        <v>29</v>
      </c>
      <c r="T57" s="27"/>
    </row>
    <row r="58" ht="7.5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22"/>
      <c r="M58" s="22"/>
      <c r="N58" s="22"/>
      <c r="O58" s="22"/>
      <c r="P58" s="6"/>
      <c r="Q58" s="30"/>
      <c r="R58" s="1"/>
      <c r="S58" s="1"/>
      <c r="T58" s="22"/>
    </row>
    <row r="59" ht="55.5" customHeight="1">
      <c r="A59" s="1"/>
      <c r="B59" s="115" t="s">
        <v>30</v>
      </c>
      <c r="C59" s="116" t="s">
        <v>65</v>
      </c>
      <c r="D59" s="117" t="s">
        <v>32</v>
      </c>
      <c r="E59" s="116" t="s">
        <v>66</v>
      </c>
      <c r="F59" s="118" t="str">
        <f t="shared" ref="F59:I59" si="1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59" s="118" t="str">
        <f t="shared" si="1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59" s="118" t="str">
        <f t="shared" si="13"/>
        <v>Brasil</v>
      </c>
      <c r="I59" s="118">
        <f t="shared" si="13"/>
        <v>4</v>
      </c>
      <c r="J59" s="35"/>
      <c r="K59" s="119" t="s">
        <v>67</v>
      </c>
      <c r="L59" s="120">
        <v>0.9</v>
      </c>
      <c r="M59" s="38">
        <f>N59/80%</f>
        <v>50000</v>
      </c>
      <c r="N59" s="38">
        <v>40000.0</v>
      </c>
      <c r="O59" s="39"/>
      <c r="P59" s="75">
        <f>R59/Q59</f>
        <v>4444444.444</v>
      </c>
      <c r="Q59" s="97">
        <v>0.01</v>
      </c>
      <c r="R59" s="42">
        <f>N59/L59</f>
        <v>44444.44444</v>
      </c>
      <c r="S59" s="76">
        <v>0.7</v>
      </c>
      <c r="T59" s="39"/>
    </row>
    <row r="60" ht="15.75" customHeight="1">
      <c r="A60" s="58"/>
      <c r="B60" s="59"/>
      <c r="C60" s="60"/>
      <c r="D60" s="60"/>
      <c r="E60" s="60"/>
      <c r="F60" s="60"/>
      <c r="G60" s="60"/>
      <c r="H60" s="61"/>
      <c r="I60" s="86"/>
      <c r="J60" s="87"/>
      <c r="K60" s="88"/>
      <c r="L60" s="25">
        <f>AVERAGE(L59)</f>
        <v>0.9</v>
      </c>
      <c r="M60" s="25">
        <f t="shared" ref="M60:N60" si="14">SUM(M59)</f>
        <v>50000</v>
      </c>
      <c r="N60" s="25">
        <f t="shared" si="14"/>
        <v>40000</v>
      </c>
      <c r="O60" s="62"/>
      <c r="P60" s="63">
        <f>SUM(P59)</f>
        <v>4444444.444</v>
      </c>
      <c r="Q60" s="64">
        <f>R60/P60</f>
        <v>0.01</v>
      </c>
      <c r="R60" s="63">
        <f>SUM(R59)</f>
        <v>44444.44444</v>
      </c>
      <c r="S60" s="90">
        <f>S59</f>
        <v>0.7</v>
      </c>
      <c r="T60" s="62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5.75" customHeight="1">
      <c r="A62" s="1"/>
      <c r="B62" s="68" t="s">
        <v>68</v>
      </c>
      <c r="D62" s="17"/>
      <c r="E62" s="7"/>
      <c r="F62" s="1"/>
      <c r="G62" s="1"/>
      <c r="H62" s="17"/>
      <c r="I62" s="17"/>
      <c r="J62" s="18"/>
      <c r="K62" s="18"/>
      <c r="L62" s="18"/>
      <c r="M62" s="18"/>
      <c r="N62" s="18"/>
      <c r="O62" s="19"/>
      <c r="P62" s="20"/>
      <c r="Q62" s="20"/>
      <c r="R62" s="17"/>
      <c r="S62" s="17"/>
      <c r="T62" s="19"/>
    </row>
    <row r="63" ht="7.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22"/>
      <c r="P63" s="3"/>
      <c r="Q63" s="3"/>
      <c r="R63" s="1"/>
      <c r="S63" s="1"/>
      <c r="T63" s="22"/>
    </row>
    <row r="64" ht="15.75" customHeight="1">
      <c r="A64" s="1"/>
      <c r="B64" s="23" t="s">
        <v>14</v>
      </c>
      <c r="C64" s="23" t="s">
        <v>15</v>
      </c>
      <c r="D64" s="23" t="s">
        <v>16</v>
      </c>
      <c r="E64" s="23" t="s">
        <v>17</v>
      </c>
      <c r="F64" s="23" t="s">
        <v>18</v>
      </c>
      <c r="G64" s="23" t="s">
        <v>19</v>
      </c>
      <c r="H64" s="23" t="s">
        <v>20</v>
      </c>
      <c r="I64" s="24" t="s">
        <v>21</v>
      </c>
      <c r="J64" s="18"/>
      <c r="K64" s="23" t="s">
        <v>22</v>
      </c>
      <c r="L64" s="25" t="s">
        <v>23</v>
      </c>
      <c r="M64" s="26" t="s">
        <v>24</v>
      </c>
      <c r="N64" s="26" t="s">
        <v>25</v>
      </c>
      <c r="O64" s="27"/>
      <c r="P64" s="28" t="s">
        <v>26</v>
      </c>
      <c r="Q64" s="26" t="s">
        <v>27</v>
      </c>
      <c r="R64" s="109" t="s">
        <v>28</v>
      </c>
      <c r="S64" s="23" t="s">
        <v>29</v>
      </c>
      <c r="T64" s="27"/>
    </row>
    <row r="65" ht="7.5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22"/>
      <c r="M65" s="22"/>
      <c r="N65" s="22"/>
      <c r="O65" s="22"/>
      <c r="P65" s="6"/>
      <c r="Q65" s="30"/>
      <c r="R65" s="1"/>
      <c r="S65" s="1"/>
      <c r="T65" s="22"/>
    </row>
    <row r="66" ht="36.75" customHeight="1">
      <c r="A66" s="1"/>
      <c r="B66" s="31" t="s">
        <v>30</v>
      </c>
      <c r="C66" s="116" t="s">
        <v>69</v>
      </c>
      <c r="D66" s="72" t="s">
        <v>70</v>
      </c>
      <c r="E66" s="116" t="s">
        <v>71</v>
      </c>
      <c r="F66" s="123" t="str">
        <f t="shared" ref="F66:I66" si="15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66" s="123" t="str">
        <f t="shared" si="15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66" s="123" t="str">
        <f t="shared" si="15"/>
        <v>Brasil</v>
      </c>
      <c r="I66" s="123">
        <f t="shared" si="15"/>
        <v>4</v>
      </c>
      <c r="J66" s="35"/>
      <c r="K66" s="72" t="s">
        <v>72</v>
      </c>
      <c r="L66" s="120">
        <v>0.7</v>
      </c>
      <c r="M66" s="38">
        <f t="shared" ref="M66:M67" si="16">N66/80%</f>
        <v>150000</v>
      </c>
      <c r="N66" s="38">
        <v>120000.0</v>
      </c>
      <c r="O66" s="39"/>
      <c r="P66" s="75">
        <f t="shared" ref="P66:P67" si="17">N66/L66</f>
        <v>171428.5714</v>
      </c>
      <c r="Q66" s="97">
        <v>0.02</v>
      </c>
      <c r="R66" s="42">
        <f t="shared" ref="R66:R67" si="18">P66*Q66</f>
        <v>3428.571429</v>
      </c>
      <c r="S66" s="79">
        <v>0.9</v>
      </c>
      <c r="T66" s="39"/>
    </row>
    <row r="67" ht="36.75" customHeight="1">
      <c r="A67" s="1"/>
      <c r="B67" s="51"/>
      <c r="C67" s="116" t="s">
        <v>73</v>
      </c>
      <c r="D67" s="55"/>
      <c r="E67" s="116" t="s">
        <v>71</v>
      </c>
      <c r="F67" s="122"/>
      <c r="G67" s="122"/>
      <c r="H67" s="122"/>
      <c r="I67" s="123">
        <v>1.0</v>
      </c>
      <c r="J67" s="35"/>
      <c r="K67" s="72" t="s">
        <v>72</v>
      </c>
      <c r="L67" s="120">
        <v>0.7</v>
      </c>
      <c r="M67" s="38">
        <f t="shared" si="16"/>
        <v>37500</v>
      </c>
      <c r="N67" s="38">
        <v>30000.0</v>
      </c>
      <c r="O67" s="39"/>
      <c r="P67" s="75">
        <f t="shared" si="17"/>
        <v>42857.14286</v>
      </c>
      <c r="Q67" s="97">
        <v>0.02</v>
      </c>
      <c r="R67" s="42">
        <f t="shared" si="18"/>
        <v>857.1428571</v>
      </c>
      <c r="S67" s="85"/>
      <c r="T67" s="39"/>
    </row>
    <row r="68" ht="15.75" customHeight="1">
      <c r="A68" s="58"/>
      <c r="B68" s="59"/>
      <c r="C68" s="60"/>
      <c r="D68" s="60"/>
      <c r="E68" s="60"/>
      <c r="F68" s="60"/>
      <c r="G68" s="60"/>
      <c r="H68" s="61"/>
      <c r="I68" s="86"/>
      <c r="J68" s="87"/>
      <c r="K68" s="88"/>
      <c r="L68" s="26" t="s">
        <v>74</v>
      </c>
      <c r="M68" s="25">
        <f t="shared" ref="M68:N68" si="19">SUM(M66:M67)</f>
        <v>187500</v>
      </c>
      <c r="N68" s="25">
        <f t="shared" si="19"/>
        <v>150000</v>
      </c>
      <c r="O68" s="62"/>
      <c r="P68" s="63">
        <f>SUM(P66:P67)</f>
        <v>214285.7143</v>
      </c>
      <c r="Q68" s="64">
        <f>R68/P68</f>
        <v>0.02</v>
      </c>
      <c r="R68" s="63">
        <f>SUM(R66:R67)</f>
        <v>4285.714286</v>
      </c>
      <c r="S68" s="90">
        <f>S66</f>
        <v>0.9</v>
      </c>
      <c r="T68" s="62"/>
    </row>
    <row r="69" ht="15.75" customHeight="1">
      <c r="A69" s="124"/>
      <c r="B69" s="18"/>
      <c r="C69" s="18"/>
      <c r="D69" s="18"/>
      <c r="E69" s="18"/>
      <c r="F69" s="18"/>
      <c r="G69" s="18"/>
      <c r="H69" s="18"/>
      <c r="I69" s="17"/>
      <c r="J69" s="18"/>
      <c r="K69" s="18"/>
      <c r="L69" s="125"/>
      <c r="M69" s="126"/>
      <c r="N69" s="126"/>
      <c r="O69" s="19"/>
      <c r="P69" s="20"/>
      <c r="Q69" s="20"/>
      <c r="R69" s="20"/>
      <c r="S69" s="20"/>
      <c r="T69" s="19"/>
    </row>
    <row r="70" ht="15.75" customHeight="1">
      <c r="A70" s="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127" t="s">
        <v>74</v>
      </c>
      <c r="M70" s="128" t="s">
        <v>24</v>
      </c>
      <c r="N70" s="129" t="s">
        <v>25</v>
      </c>
      <c r="O70" s="19"/>
      <c r="P70" s="130" t="s">
        <v>26</v>
      </c>
      <c r="Q70" s="131" t="s">
        <v>28</v>
      </c>
      <c r="R70" s="132" t="s">
        <v>75</v>
      </c>
      <c r="S70" s="20"/>
      <c r="T70" s="19"/>
    </row>
    <row r="71" ht="15.75" customHeight="1">
      <c r="A71" s="1"/>
      <c r="B71" s="133"/>
      <c r="C71" s="60"/>
      <c r="D71" s="60"/>
      <c r="E71" s="60"/>
      <c r="F71" s="60"/>
      <c r="G71" s="60"/>
      <c r="H71" s="61"/>
      <c r="I71" s="134" t="s">
        <v>76</v>
      </c>
      <c r="J71" s="60"/>
      <c r="K71" s="61"/>
      <c r="L71" s="127" t="s">
        <v>74</v>
      </c>
      <c r="M71" s="135">
        <f t="shared" ref="M71:M72" si="20">N71/80%</f>
        <v>2000000</v>
      </c>
      <c r="N71" s="135">
        <f>SUM(N68,N53,N42,N29,N60)</f>
        <v>1600000</v>
      </c>
      <c r="O71" s="19"/>
      <c r="P71" s="136">
        <f>SUM(P68,P53,P42,P29,P60)</f>
        <v>30893679.2</v>
      </c>
      <c r="Q71" s="137">
        <f>R53+R29+R68+R60</f>
        <v>124507.9365</v>
      </c>
      <c r="R71" s="137">
        <f>SUM(R42)</f>
        <v>3575000</v>
      </c>
      <c r="S71" s="20"/>
      <c r="T71" s="19"/>
    </row>
    <row r="72" ht="15.75" customHeight="1">
      <c r="A72" s="1"/>
      <c r="B72" s="133"/>
      <c r="C72" s="60"/>
      <c r="D72" s="60"/>
      <c r="E72" s="60"/>
      <c r="F72" s="60"/>
      <c r="G72" s="60"/>
      <c r="H72" s="61"/>
      <c r="I72" s="134" t="s">
        <v>77</v>
      </c>
      <c r="J72" s="60"/>
      <c r="K72" s="61"/>
      <c r="L72" s="127" t="s">
        <v>74</v>
      </c>
      <c r="M72" s="135">
        <f t="shared" si="20"/>
        <v>500000</v>
      </c>
      <c r="N72" s="135">
        <f>N71/I21</f>
        <v>400000</v>
      </c>
      <c r="O72" s="138"/>
      <c r="P72" s="137">
        <f>P71/I21</f>
        <v>7723419.799</v>
      </c>
      <c r="Q72" s="137">
        <f t="shared" ref="Q72:R72" si="21">Q71</f>
        <v>124507.9365</v>
      </c>
      <c r="R72" s="137">
        <f t="shared" si="21"/>
        <v>3575000</v>
      </c>
      <c r="S72" s="20"/>
      <c r="T72" s="19"/>
    </row>
    <row r="73" ht="15.75" customHeight="1">
      <c r="A73" s="1"/>
      <c r="B73" s="18"/>
      <c r="C73" s="18"/>
      <c r="D73" s="18"/>
      <c r="E73" s="18"/>
      <c r="F73" s="18"/>
      <c r="G73" s="18"/>
      <c r="H73" s="18"/>
      <c r="I73" s="5"/>
      <c r="J73" s="18"/>
      <c r="K73" s="18"/>
      <c r="L73" s="18"/>
      <c r="M73" s="18"/>
      <c r="N73" s="18"/>
      <c r="O73" s="19"/>
      <c r="P73" s="20"/>
      <c r="Q73" s="20"/>
      <c r="R73" s="20"/>
      <c r="S73" s="20"/>
      <c r="T73" s="19"/>
    </row>
    <row r="74" ht="15.75" customHeight="1">
      <c r="A74" s="139"/>
      <c r="B74" s="140" t="s">
        <v>78</v>
      </c>
      <c r="C74" s="141"/>
      <c r="D74" s="141"/>
      <c r="E74" s="141"/>
      <c r="F74" s="142"/>
      <c r="G74" s="17"/>
      <c r="H74" s="17"/>
      <c r="I74" s="143"/>
      <c r="J74" s="18"/>
      <c r="K74" s="18"/>
      <c r="L74" s="18"/>
      <c r="M74" s="18"/>
      <c r="N74" s="18"/>
      <c r="O74" s="138"/>
      <c r="P74" s="20"/>
      <c r="Q74" s="20"/>
      <c r="R74" s="20"/>
      <c r="S74" s="20"/>
      <c r="T74" s="138"/>
    </row>
    <row r="75" ht="15.75" customHeight="1">
      <c r="A75" s="139"/>
      <c r="B75" s="144" t="s">
        <v>79</v>
      </c>
      <c r="C75" s="145" t="s">
        <v>80</v>
      </c>
      <c r="D75" s="145" t="s">
        <v>81</v>
      </c>
      <c r="E75" s="145" t="s">
        <v>82</v>
      </c>
      <c r="F75" s="144" t="s">
        <v>83</v>
      </c>
      <c r="G75" s="1"/>
      <c r="H75" s="1"/>
      <c r="I75" s="139"/>
      <c r="J75" s="18"/>
      <c r="K75" s="18"/>
      <c r="L75" s="18"/>
      <c r="M75" s="18"/>
      <c r="N75" s="18"/>
      <c r="O75" s="19"/>
      <c r="P75" s="20"/>
      <c r="Q75" s="20"/>
      <c r="R75" s="20"/>
      <c r="S75" s="20"/>
      <c r="T75" s="19"/>
    </row>
    <row r="76" ht="15.75" customHeight="1">
      <c r="A76" s="139"/>
      <c r="B76" s="146">
        <f>TODAY()+10</f>
        <v>46270</v>
      </c>
      <c r="C76" s="146">
        <f>B76+D76</f>
        <v>46390</v>
      </c>
      <c r="D76" s="147">
        <f>30*I21</f>
        <v>120</v>
      </c>
      <c r="E76" s="148">
        <f>N71/D76</f>
        <v>13333.33333</v>
      </c>
      <c r="F76" s="149">
        <f>P71/D76</f>
        <v>257447.3266</v>
      </c>
      <c r="G76" s="1"/>
      <c r="H76" s="1"/>
      <c r="I76" s="139"/>
      <c r="J76" s="18"/>
      <c r="K76" s="18"/>
      <c r="L76" s="18"/>
      <c r="M76" s="18"/>
      <c r="N76" s="18"/>
      <c r="O76" s="19"/>
      <c r="P76" s="20"/>
      <c r="Q76" s="20"/>
      <c r="R76" s="20"/>
      <c r="S76" s="20"/>
      <c r="T76" s="19"/>
    </row>
    <row r="77" ht="15.75" customHeight="1">
      <c r="A77" s="139"/>
      <c r="B77" s="144" t="s">
        <v>84</v>
      </c>
      <c r="C77" s="145" t="s">
        <v>85</v>
      </c>
      <c r="D77" s="145" t="s">
        <v>86</v>
      </c>
      <c r="E77" s="145" t="s">
        <v>87</v>
      </c>
      <c r="F77" s="144" t="s">
        <v>88</v>
      </c>
      <c r="G77" s="1"/>
      <c r="H77" s="5"/>
      <c r="I77" s="139"/>
      <c r="J77" s="18"/>
      <c r="K77" s="18"/>
      <c r="L77" s="18"/>
      <c r="M77" s="18"/>
      <c r="N77" s="18"/>
      <c r="O77" s="19"/>
      <c r="P77" s="20"/>
      <c r="Q77" s="20"/>
      <c r="R77" s="20"/>
      <c r="S77" s="20"/>
      <c r="T77" s="19"/>
    </row>
    <row r="78" ht="15.75" customHeight="1">
      <c r="A78" s="139"/>
      <c r="B78" s="150">
        <v>2.0</v>
      </c>
      <c r="C78" s="151">
        <v>6.0</v>
      </c>
      <c r="D78" s="152">
        <f>B78*C78</f>
        <v>12</v>
      </c>
      <c r="E78" s="148">
        <f>E76/D78</f>
        <v>1111.111111</v>
      </c>
      <c r="F78" s="149">
        <f>F76/D78</f>
        <v>21453.94389</v>
      </c>
      <c r="G78" s="139"/>
      <c r="H78" s="143"/>
      <c r="I78" s="139"/>
      <c r="J78" s="18"/>
      <c r="K78" s="18"/>
      <c r="L78" s="18"/>
      <c r="M78" s="18"/>
      <c r="N78" s="18"/>
      <c r="O78" s="19"/>
      <c r="P78" s="20"/>
      <c r="Q78" s="20"/>
      <c r="R78" s="20"/>
      <c r="S78" s="20"/>
      <c r="T78" s="19"/>
    </row>
    <row r="79" ht="15.75" customHeight="1">
      <c r="A79" s="139"/>
      <c r="B79" s="153" t="s">
        <v>89</v>
      </c>
      <c r="C79" s="142"/>
      <c r="D79" s="154" t="s">
        <v>90</v>
      </c>
      <c r="E79" s="154" t="s">
        <v>91</v>
      </c>
      <c r="F79" s="144" t="s">
        <v>92</v>
      </c>
      <c r="G79" s="139"/>
      <c r="H79" s="139"/>
      <c r="I79" s="139"/>
      <c r="J79" s="18"/>
      <c r="K79" s="18"/>
      <c r="L79" s="18"/>
      <c r="M79" s="18"/>
      <c r="N79" s="18"/>
      <c r="O79" s="19"/>
      <c r="P79" s="20"/>
      <c r="Q79" s="20"/>
      <c r="R79" s="20"/>
      <c r="S79" s="20"/>
      <c r="T79" s="19"/>
    </row>
    <row r="80" ht="15.75" customHeight="1">
      <c r="A80" s="6"/>
      <c r="B80" s="155">
        <v>1.0</v>
      </c>
      <c r="C80" s="142"/>
      <c r="D80" s="152">
        <f>B80</f>
        <v>1</v>
      </c>
      <c r="E80" s="148">
        <f>E78/D80</f>
        <v>1111.111111</v>
      </c>
      <c r="F80" s="149">
        <f>F78/D80</f>
        <v>21453.94389</v>
      </c>
      <c r="G80" s="139"/>
      <c r="H80" s="139"/>
      <c r="I80" s="139"/>
      <c r="J80" s="18"/>
      <c r="K80" s="18"/>
      <c r="L80" s="18"/>
      <c r="M80" s="18"/>
      <c r="N80" s="18"/>
      <c r="O80" s="19"/>
      <c r="P80" s="20"/>
      <c r="Q80" s="20"/>
      <c r="R80" s="20"/>
      <c r="S80" s="20"/>
      <c r="T80" s="19"/>
    </row>
    <row r="81" ht="15.75" customHeight="1">
      <c r="A81" s="6"/>
      <c r="B81" s="156"/>
      <c r="C81" s="157"/>
      <c r="D81" s="157"/>
      <c r="E81" s="157"/>
      <c r="F81" s="156"/>
      <c r="H81" s="139"/>
      <c r="I81" s="139"/>
      <c r="J81" s="18"/>
      <c r="K81" s="18"/>
      <c r="L81" s="18"/>
      <c r="M81" s="18"/>
      <c r="N81" s="18"/>
      <c r="O81" s="19"/>
      <c r="P81" s="20"/>
      <c r="Q81" s="20"/>
      <c r="R81" s="20"/>
      <c r="S81" s="20"/>
      <c r="T81" s="19"/>
    </row>
    <row r="82" ht="15.75" customHeight="1">
      <c r="A82" s="6"/>
      <c r="B82" s="158" t="s">
        <v>93</v>
      </c>
      <c r="D82" s="159" t="s">
        <v>108</v>
      </c>
      <c r="G82" s="139"/>
      <c r="H82" s="139"/>
      <c r="I82" s="139"/>
      <c r="J82" s="18"/>
      <c r="K82" s="18"/>
      <c r="L82" s="18"/>
      <c r="M82" s="18"/>
      <c r="N82" s="18"/>
      <c r="O82" s="19"/>
      <c r="P82" s="20"/>
      <c r="Q82" s="20"/>
      <c r="R82" s="20"/>
      <c r="S82" s="20"/>
      <c r="T82" s="19"/>
    </row>
    <row r="83" ht="15.75" customHeight="1">
      <c r="A83" s="6"/>
      <c r="B83" s="160" t="s">
        <v>95</v>
      </c>
      <c r="C83" s="161"/>
      <c r="D83" s="162" t="s">
        <v>109</v>
      </c>
      <c r="F83" s="163"/>
      <c r="H83" s="139"/>
      <c r="I83" s="139"/>
      <c r="J83" s="18"/>
      <c r="K83" s="18"/>
      <c r="L83" s="18"/>
      <c r="M83" s="18"/>
      <c r="N83" s="18"/>
      <c r="O83" s="19"/>
      <c r="P83" s="20"/>
      <c r="Q83" s="20"/>
      <c r="R83" s="20"/>
      <c r="S83" s="20"/>
      <c r="T83" s="19"/>
    </row>
    <row r="84" ht="15.75" customHeight="1">
      <c r="A84" s="6"/>
      <c r="B84" s="160" t="s">
        <v>97</v>
      </c>
      <c r="C84" s="161"/>
      <c r="D84" s="162" t="s">
        <v>110</v>
      </c>
      <c r="F84" s="163"/>
      <c r="G84" s="139"/>
      <c r="H84" s="139"/>
      <c r="I84" s="139"/>
      <c r="J84" s="18"/>
      <c r="K84" s="18"/>
      <c r="L84" s="18"/>
      <c r="M84" s="18"/>
      <c r="N84" s="18"/>
      <c r="O84" s="19"/>
      <c r="P84" s="20"/>
      <c r="Q84" s="20"/>
      <c r="R84" s="20"/>
      <c r="S84" s="20"/>
      <c r="T84" s="19"/>
    </row>
    <row r="85" ht="15.75" customHeight="1">
      <c r="A85" s="6"/>
      <c r="B85" s="160" t="s">
        <v>98</v>
      </c>
      <c r="C85" s="161"/>
      <c r="D85" s="162" t="s">
        <v>112</v>
      </c>
      <c r="F85" s="163"/>
      <c r="H85" s="139"/>
      <c r="I85" s="139"/>
      <c r="J85" s="18"/>
      <c r="K85" s="18"/>
      <c r="L85" s="18"/>
      <c r="M85" s="18"/>
      <c r="N85" s="18"/>
      <c r="O85" s="19"/>
      <c r="P85" s="20"/>
      <c r="Q85" s="20"/>
      <c r="R85" s="20"/>
      <c r="S85" s="20"/>
      <c r="T85" s="19"/>
    </row>
    <row r="86" ht="15.75" customHeight="1">
      <c r="A86" s="6"/>
      <c r="B86" s="160" t="s">
        <v>100</v>
      </c>
      <c r="C86" s="161"/>
      <c r="D86" s="162" t="s">
        <v>113</v>
      </c>
      <c r="F86" s="163"/>
      <c r="G86" s="139"/>
      <c r="H86" s="139"/>
      <c r="I86" s="139"/>
      <c r="J86" s="18"/>
      <c r="K86" s="18"/>
      <c r="L86" s="18"/>
      <c r="M86" s="18"/>
      <c r="N86" s="18"/>
      <c r="O86" s="19"/>
      <c r="P86" s="20"/>
      <c r="Q86" s="20"/>
      <c r="R86" s="20"/>
      <c r="S86" s="20"/>
      <c r="T86" s="19"/>
    </row>
    <row r="87" ht="15.75" customHeight="1">
      <c r="A87" s="6"/>
      <c r="B87" s="160" t="s">
        <v>102</v>
      </c>
      <c r="C87" s="161"/>
      <c r="D87" s="162" t="s">
        <v>103</v>
      </c>
      <c r="F87" s="163"/>
      <c r="H87" s="139"/>
      <c r="I87" s="139"/>
      <c r="J87" s="18"/>
      <c r="K87" s="18"/>
      <c r="L87" s="18"/>
      <c r="M87" s="18"/>
      <c r="N87" s="18"/>
      <c r="O87" s="19"/>
      <c r="P87" s="20"/>
      <c r="Q87" s="20"/>
      <c r="R87" s="20"/>
      <c r="S87" s="20"/>
      <c r="T87" s="19"/>
    </row>
    <row r="88" ht="15.75" customHeight="1">
      <c r="A88" s="6"/>
      <c r="B88" s="160" t="s">
        <v>104</v>
      </c>
      <c r="C88" s="161"/>
      <c r="D88" s="162" t="s">
        <v>105</v>
      </c>
      <c r="F88" s="163"/>
      <c r="G88" s="139"/>
      <c r="H88" s="139"/>
      <c r="I88" s="139"/>
      <c r="J88" s="18"/>
      <c r="K88" s="18"/>
      <c r="L88" s="18"/>
      <c r="M88" s="18"/>
      <c r="N88" s="18"/>
      <c r="O88" s="19"/>
      <c r="P88" s="20"/>
      <c r="Q88" s="20"/>
      <c r="R88" s="20"/>
      <c r="S88" s="20"/>
      <c r="T88" s="19"/>
    </row>
    <row r="89" ht="15.75" customHeight="1">
      <c r="A89" s="6"/>
      <c r="B89" s="164" t="s">
        <v>106</v>
      </c>
      <c r="C89" s="165"/>
      <c r="D89" s="166" t="s">
        <v>105</v>
      </c>
      <c r="E89" s="167"/>
      <c r="F89" s="168"/>
      <c r="H89" s="139"/>
      <c r="I89" s="139"/>
      <c r="J89" s="18"/>
      <c r="K89" s="18"/>
      <c r="L89" s="18"/>
      <c r="M89" s="18"/>
      <c r="N89" s="18"/>
      <c r="O89" s="19"/>
      <c r="P89" s="20"/>
      <c r="Q89" s="20"/>
      <c r="R89" s="20"/>
      <c r="S89" s="20"/>
      <c r="T89" s="19"/>
    </row>
    <row r="90" ht="15.75" customHeight="1">
      <c r="A90" s="6"/>
      <c r="B90" s="156"/>
      <c r="C90" s="157"/>
      <c r="D90" s="157"/>
      <c r="E90" s="157"/>
      <c r="F90" s="156"/>
      <c r="G90" s="139"/>
      <c r="H90" s="139"/>
      <c r="I90" s="139"/>
      <c r="J90" s="18"/>
      <c r="K90" s="18"/>
      <c r="L90" s="18"/>
      <c r="M90" s="18"/>
      <c r="N90" s="18"/>
      <c r="O90" s="19"/>
      <c r="P90" s="20"/>
      <c r="Q90" s="20"/>
      <c r="R90" s="20"/>
      <c r="S90" s="20"/>
      <c r="T90" s="19"/>
    </row>
    <row r="91" ht="15.75" customHeight="1">
      <c r="A91" s="6"/>
      <c r="B91" s="156"/>
      <c r="C91" s="157"/>
      <c r="D91" s="157"/>
      <c r="E91" s="157"/>
      <c r="F91" s="156"/>
      <c r="H91" s="139"/>
      <c r="I91" s="139"/>
      <c r="J91" s="18"/>
      <c r="K91" s="18"/>
      <c r="L91" s="18"/>
      <c r="M91" s="18"/>
      <c r="N91" s="18"/>
      <c r="O91" s="19"/>
      <c r="P91" s="20"/>
      <c r="Q91" s="20"/>
      <c r="R91" s="20"/>
      <c r="S91" s="20"/>
      <c r="T91" s="19"/>
    </row>
  </sheetData>
  <mergeCells count="90">
    <mergeCell ref="G21:G28"/>
    <mergeCell ref="H21:H26"/>
    <mergeCell ref="I21:I28"/>
    <mergeCell ref="K21:K28"/>
    <mergeCell ref="L21:L28"/>
    <mergeCell ref="M21:M28"/>
    <mergeCell ref="N21:N28"/>
    <mergeCell ref="O21:O28"/>
    <mergeCell ref="P21:P28"/>
    <mergeCell ref="Q21:Q28"/>
    <mergeCell ref="R21:R28"/>
    <mergeCell ref="S21:S28"/>
    <mergeCell ref="B4:C4"/>
    <mergeCell ref="B14:T14"/>
    <mergeCell ref="B17:C17"/>
    <mergeCell ref="B21:B28"/>
    <mergeCell ref="D21:D28"/>
    <mergeCell ref="E21:E28"/>
    <mergeCell ref="F21:F26"/>
    <mergeCell ref="F35:F41"/>
    <mergeCell ref="E36:E41"/>
    <mergeCell ref="B48:B52"/>
    <mergeCell ref="F48:F52"/>
    <mergeCell ref="G48:G52"/>
    <mergeCell ref="I48:I52"/>
    <mergeCell ref="K48:K52"/>
    <mergeCell ref="I53:K53"/>
    <mergeCell ref="H48:H52"/>
    <mergeCell ref="B53:H53"/>
    <mergeCell ref="B55:C55"/>
    <mergeCell ref="B60:H60"/>
    <mergeCell ref="I60:K60"/>
    <mergeCell ref="B62:C62"/>
    <mergeCell ref="B66:B67"/>
    <mergeCell ref="B71:H71"/>
    <mergeCell ref="I71:K71"/>
    <mergeCell ref="B72:H72"/>
    <mergeCell ref="I72:K72"/>
    <mergeCell ref="B74:F74"/>
    <mergeCell ref="B79:C79"/>
    <mergeCell ref="G80:G81"/>
    <mergeCell ref="G82:G83"/>
    <mergeCell ref="G84:G85"/>
    <mergeCell ref="G86:G87"/>
    <mergeCell ref="G88:G89"/>
    <mergeCell ref="G90:G91"/>
    <mergeCell ref="B80:C80"/>
    <mergeCell ref="B82:C82"/>
    <mergeCell ref="D82:F82"/>
    <mergeCell ref="B83:C83"/>
    <mergeCell ref="D83:F83"/>
    <mergeCell ref="B84:C84"/>
    <mergeCell ref="D84:F84"/>
    <mergeCell ref="B88:C88"/>
    <mergeCell ref="B89:C89"/>
    <mergeCell ref="B85:C85"/>
    <mergeCell ref="D85:F85"/>
    <mergeCell ref="B86:C86"/>
    <mergeCell ref="D86:F86"/>
    <mergeCell ref="B87:C87"/>
    <mergeCell ref="D87:F87"/>
    <mergeCell ref="D88:F88"/>
    <mergeCell ref="D89:F89"/>
    <mergeCell ref="P36:P41"/>
    <mergeCell ref="Q36:Q41"/>
    <mergeCell ref="H35:H41"/>
    <mergeCell ref="I35:I41"/>
    <mergeCell ref="S35:S41"/>
    <mergeCell ref="L36:L41"/>
    <mergeCell ref="M36:M41"/>
    <mergeCell ref="N36:N41"/>
    <mergeCell ref="O36:O41"/>
    <mergeCell ref="R36:R41"/>
    <mergeCell ref="B42:H42"/>
    <mergeCell ref="I42:K42"/>
    <mergeCell ref="B44:C44"/>
    <mergeCell ref="B29:H29"/>
    <mergeCell ref="I29:K29"/>
    <mergeCell ref="B31:C31"/>
    <mergeCell ref="B35:B41"/>
    <mergeCell ref="D35:D41"/>
    <mergeCell ref="G35:G41"/>
    <mergeCell ref="K35:K41"/>
    <mergeCell ref="D66:D67"/>
    <mergeCell ref="F66:F67"/>
    <mergeCell ref="G66:G67"/>
    <mergeCell ref="H66:H67"/>
    <mergeCell ref="S66:S67"/>
    <mergeCell ref="B68:H68"/>
    <mergeCell ref="I68:K6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2.63"/>
    <col customWidth="1" min="3" max="3" width="47.5"/>
    <col customWidth="1" min="4" max="4" width="19.75"/>
    <col customWidth="1" min="5" max="5" width="33.0"/>
    <col customWidth="1" min="6" max="6" width="33.63"/>
    <col customWidth="1" min="7" max="7" width="32.5"/>
    <col customWidth="1" min="8" max="8" width="31.25"/>
    <col customWidth="1" min="9" max="9" width="15.5"/>
    <col customWidth="1" min="10" max="10" width="1.75"/>
    <col customWidth="1" min="11" max="12" width="13.25"/>
    <col customWidth="1" min="13" max="14" width="23.5"/>
    <col customWidth="1" min="15" max="15" width="1.75"/>
    <col customWidth="1" min="16" max="19" width="21.5"/>
    <col customWidth="1" min="20" max="20" width="4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1"/>
      <c r="S1" s="1"/>
      <c r="T1" s="2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3"/>
      <c r="Q2" s="3"/>
      <c r="R2" s="1"/>
      <c r="S2" s="1"/>
      <c r="T2" s="2"/>
    </row>
    <row r="3" ht="15.75" customHeight="1">
      <c r="A3" s="1"/>
      <c r="B3" s="1"/>
      <c r="C3" s="1"/>
      <c r="D3" s="1"/>
      <c r="E3" s="4"/>
      <c r="F3" s="1"/>
      <c r="G3" s="5"/>
      <c r="H3" s="1"/>
      <c r="I3" s="1"/>
      <c r="J3" s="1"/>
      <c r="K3" s="1"/>
      <c r="L3" s="1"/>
      <c r="M3" s="1"/>
      <c r="N3" s="1"/>
      <c r="O3" s="2"/>
      <c r="P3" s="3"/>
      <c r="Q3" s="3"/>
      <c r="R3" s="1"/>
      <c r="S3" s="1"/>
      <c r="T3" s="2"/>
    </row>
    <row r="4" ht="15.75" customHeight="1">
      <c r="A4" s="1"/>
      <c r="B4" s="6"/>
      <c r="D4" s="7"/>
      <c r="E4" s="4"/>
      <c r="F4" s="1"/>
      <c r="G4" s="5"/>
      <c r="H4" s="1"/>
      <c r="I4" s="1"/>
      <c r="J4" s="1"/>
      <c r="K4" s="1"/>
      <c r="L4" s="1"/>
      <c r="M4" s="1"/>
      <c r="N4" s="1"/>
      <c r="O4" s="2"/>
      <c r="P4" s="3"/>
      <c r="Q4" s="3"/>
      <c r="R4" s="1"/>
      <c r="S4" s="1"/>
      <c r="T4" s="2"/>
    </row>
    <row r="5" ht="15.75" customHeight="1">
      <c r="A5" s="1"/>
      <c r="B5" s="1"/>
      <c r="C5" s="1"/>
      <c r="D5" s="1"/>
      <c r="E5" s="4"/>
      <c r="F5" s="1"/>
      <c r="G5" s="5"/>
      <c r="H5" s="5"/>
      <c r="I5" s="1"/>
      <c r="J5" s="1"/>
      <c r="K5" s="1"/>
      <c r="L5" s="1"/>
      <c r="M5" s="1"/>
      <c r="N5" s="1"/>
      <c r="O5" s="2"/>
      <c r="P5" s="3"/>
      <c r="Q5" s="3"/>
      <c r="R5" s="1"/>
      <c r="S5" s="1"/>
      <c r="T5" s="2"/>
    </row>
    <row r="6" ht="15.75" customHeight="1">
      <c r="A6" s="1"/>
      <c r="B6" s="8" t="s">
        <v>0</v>
      </c>
      <c r="C6" s="9" t="s">
        <v>1</v>
      </c>
      <c r="D6" s="1"/>
      <c r="E6" s="4"/>
      <c r="F6" s="1"/>
      <c r="G6" s="5"/>
      <c r="H6" s="1"/>
      <c r="I6" s="1"/>
      <c r="J6" s="1"/>
      <c r="K6" s="1"/>
      <c r="L6" s="1"/>
      <c r="M6" s="1"/>
      <c r="N6" s="1"/>
      <c r="O6" s="2"/>
      <c r="P6" s="3"/>
      <c r="Q6" s="3"/>
      <c r="R6" s="1"/>
      <c r="S6" s="1"/>
      <c r="T6" s="2"/>
    </row>
    <row r="7" ht="15.75" customHeight="1">
      <c r="A7" s="1"/>
      <c r="B7" s="8" t="s">
        <v>2</v>
      </c>
      <c r="C7" s="10" t="s">
        <v>3</v>
      </c>
      <c r="D7" s="1"/>
      <c r="E7" s="4"/>
      <c r="F7" s="1"/>
      <c r="G7" s="5"/>
      <c r="H7" s="1"/>
      <c r="I7" s="1"/>
      <c r="J7" s="1"/>
      <c r="K7" s="1"/>
      <c r="L7" s="1"/>
      <c r="M7" s="1"/>
      <c r="N7" s="1"/>
      <c r="O7" s="2"/>
      <c r="P7" s="3"/>
      <c r="Q7" s="3"/>
      <c r="R7" s="1"/>
      <c r="S7" s="1"/>
      <c r="T7" s="2"/>
    </row>
    <row r="8" ht="15.75" customHeight="1">
      <c r="A8" s="1"/>
      <c r="B8" s="8" t="s">
        <v>4</v>
      </c>
      <c r="C8" s="11" t="s">
        <v>5</v>
      </c>
      <c r="D8" s="1"/>
      <c r="E8" s="4"/>
      <c r="F8" s="1"/>
      <c r="G8" s="5"/>
      <c r="H8" s="1"/>
      <c r="I8" s="1"/>
      <c r="J8" s="1"/>
      <c r="K8" s="1"/>
      <c r="L8" s="1"/>
      <c r="M8" s="1"/>
      <c r="N8" s="1"/>
      <c r="O8" s="2"/>
      <c r="P8" s="3"/>
      <c r="Q8" s="3"/>
      <c r="R8" s="1"/>
      <c r="S8" s="1"/>
      <c r="T8" s="2"/>
    </row>
    <row r="9">
      <c r="A9" s="1"/>
      <c r="B9" s="8" t="s">
        <v>6</v>
      </c>
      <c r="C9" s="12">
        <f>N71</f>
        <v>1000000</v>
      </c>
      <c r="D9" s="1"/>
      <c r="E9" s="4"/>
      <c r="F9" s="1"/>
      <c r="G9" s="1"/>
      <c r="H9" s="1"/>
      <c r="I9" s="1"/>
      <c r="J9" s="1"/>
      <c r="K9" s="1"/>
      <c r="L9" s="1"/>
      <c r="M9" s="1"/>
      <c r="N9" s="1"/>
      <c r="O9" s="3"/>
      <c r="P9" s="3"/>
      <c r="Q9" s="3"/>
      <c r="R9" s="1"/>
      <c r="S9" s="1"/>
      <c r="T9" s="3"/>
    </row>
    <row r="10">
      <c r="A10" s="1"/>
      <c r="B10" s="13" t="s">
        <v>8</v>
      </c>
      <c r="C10" s="14">
        <f>C9/80%</f>
        <v>1250000</v>
      </c>
      <c r="D10" s="1"/>
      <c r="E10" s="4"/>
      <c r="F10" s="1"/>
      <c r="G10" s="1"/>
      <c r="H10" s="1"/>
      <c r="I10" s="1"/>
      <c r="J10" s="1"/>
      <c r="K10" s="1"/>
      <c r="L10" s="1"/>
      <c r="M10" s="1"/>
      <c r="N10" s="1"/>
      <c r="O10" s="3"/>
      <c r="P10" s="3"/>
      <c r="Q10" s="3"/>
      <c r="R10" s="1"/>
      <c r="S10" s="1"/>
      <c r="T10" s="3"/>
    </row>
    <row r="11">
      <c r="A11" s="1"/>
      <c r="B11" s="8" t="s">
        <v>11</v>
      </c>
      <c r="C11" s="12">
        <f>N72</f>
        <v>250000</v>
      </c>
      <c r="D11" s="1"/>
      <c r="E11" s="4"/>
      <c r="F11" s="1"/>
      <c r="G11" s="1"/>
      <c r="H11" s="1"/>
      <c r="I11" s="1"/>
      <c r="J11" s="1"/>
      <c r="K11" s="1"/>
      <c r="L11" s="1"/>
      <c r="M11" s="1"/>
      <c r="N11" s="1"/>
      <c r="O11" s="3"/>
      <c r="P11" s="3"/>
      <c r="Q11" s="3"/>
      <c r="R11" s="1"/>
      <c r="S11" s="1"/>
      <c r="T11" s="3"/>
    </row>
    <row r="12">
      <c r="A12" s="1"/>
      <c r="B12" s="13" t="s">
        <v>12</v>
      </c>
      <c r="C12" s="14">
        <f>C11/80%</f>
        <v>312500</v>
      </c>
      <c r="D12" s="1"/>
      <c r="E12" s="4"/>
      <c r="F12" s="1"/>
      <c r="G12" s="1"/>
      <c r="H12" s="1"/>
      <c r="I12" s="1"/>
      <c r="J12" s="1"/>
      <c r="K12" s="1"/>
      <c r="L12" s="1"/>
      <c r="M12" s="1"/>
      <c r="N12" s="1"/>
      <c r="O12" s="3"/>
      <c r="P12" s="3"/>
      <c r="Q12" s="3"/>
      <c r="R12" s="1"/>
      <c r="S12" s="1"/>
      <c r="T12" s="3"/>
    </row>
    <row r="13" ht="15.75" customHeight="1">
      <c r="A13" s="1"/>
      <c r="B13" s="1"/>
      <c r="C13" s="1"/>
      <c r="D13" s="1"/>
      <c r="E13" s="4"/>
      <c r="F13" s="1"/>
      <c r="G13" s="1"/>
      <c r="H13" s="1"/>
      <c r="I13" s="1"/>
      <c r="J13" s="1"/>
      <c r="K13" s="1"/>
      <c r="L13" s="1"/>
      <c r="M13" s="1"/>
      <c r="N13" s="1"/>
      <c r="O13" s="2"/>
      <c r="P13" s="3"/>
      <c r="Q13" s="3"/>
      <c r="R13" s="1"/>
      <c r="S13" s="1"/>
      <c r="T13" s="2"/>
    </row>
    <row r="14" ht="15.75" customHeight="1">
      <c r="A14" s="1"/>
      <c r="B14" s="15" t="s">
        <v>10</v>
      </c>
    </row>
    <row r="15" ht="15.75" customHeight="1">
      <c r="A15" s="1"/>
      <c r="B15" s="1"/>
      <c r="C15" s="1"/>
      <c r="D15" s="1"/>
      <c r="E15" s="4"/>
      <c r="F15" s="1"/>
      <c r="G15" s="1"/>
      <c r="H15" s="1"/>
      <c r="I15" s="1"/>
      <c r="J15" s="1"/>
      <c r="K15" s="1"/>
      <c r="L15" s="1"/>
      <c r="M15" s="1"/>
      <c r="N15" s="1"/>
      <c r="O15" s="2"/>
      <c r="P15" s="3"/>
      <c r="Q15" s="3"/>
      <c r="R15" s="1"/>
      <c r="S15" s="1"/>
      <c r="T15" s="2"/>
    </row>
    <row r="16" ht="15.75" customHeight="1">
      <c r="A16" s="1"/>
      <c r="B16" s="16"/>
      <c r="C16" s="16"/>
      <c r="D16" s="17"/>
      <c r="E16" s="7"/>
      <c r="F16" s="1"/>
      <c r="G16" s="1"/>
      <c r="H16" s="17"/>
      <c r="I16" s="17"/>
      <c r="J16" s="18"/>
      <c r="K16" s="18"/>
      <c r="L16" s="18"/>
      <c r="M16" s="18"/>
      <c r="N16" s="18"/>
      <c r="O16" s="19"/>
      <c r="P16" s="20"/>
      <c r="Q16" s="20"/>
      <c r="R16" s="17"/>
      <c r="S16" s="17"/>
      <c r="T16" s="19"/>
    </row>
    <row r="17" ht="15.75" customHeight="1">
      <c r="A17" s="1"/>
      <c r="B17" s="21" t="s">
        <v>13</v>
      </c>
      <c r="D17" s="17"/>
      <c r="E17" s="7"/>
      <c r="F17" s="1"/>
      <c r="G17" s="1"/>
      <c r="H17" s="17"/>
      <c r="I17" s="17"/>
      <c r="J17" s="18"/>
      <c r="K17" s="18"/>
      <c r="L17" s="18"/>
      <c r="M17" s="18"/>
      <c r="N17" s="18"/>
      <c r="O17" s="19"/>
      <c r="P17" s="20"/>
      <c r="Q17" s="20"/>
      <c r="R17" s="17"/>
      <c r="S17" s="17"/>
      <c r="T17" s="19"/>
    </row>
    <row r="18" ht="7.5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22"/>
      <c r="P18" s="3"/>
      <c r="Q18" s="3"/>
      <c r="R18" s="1"/>
      <c r="S18" s="1"/>
      <c r="T18" s="22"/>
    </row>
    <row r="19" ht="15.75" customHeight="1">
      <c r="A19" s="1"/>
      <c r="B19" s="23" t="s">
        <v>14</v>
      </c>
      <c r="C19" s="23" t="s">
        <v>15</v>
      </c>
      <c r="D19" s="23" t="s">
        <v>16</v>
      </c>
      <c r="E19" s="23" t="s">
        <v>17</v>
      </c>
      <c r="F19" s="23" t="s">
        <v>18</v>
      </c>
      <c r="G19" s="23" t="s">
        <v>19</v>
      </c>
      <c r="H19" s="23" t="s">
        <v>20</v>
      </c>
      <c r="I19" s="24" t="s">
        <v>21</v>
      </c>
      <c r="J19" s="18"/>
      <c r="K19" s="23" t="s">
        <v>22</v>
      </c>
      <c r="L19" s="25" t="s">
        <v>23</v>
      </c>
      <c r="M19" s="26" t="s">
        <v>24</v>
      </c>
      <c r="N19" s="26" t="s">
        <v>25</v>
      </c>
      <c r="O19" s="27"/>
      <c r="P19" s="28" t="s">
        <v>26</v>
      </c>
      <c r="Q19" s="29" t="s">
        <v>27</v>
      </c>
      <c r="R19" s="23" t="s">
        <v>28</v>
      </c>
      <c r="S19" s="23" t="s">
        <v>29</v>
      </c>
      <c r="T19" s="27"/>
    </row>
    <row r="20" ht="7.5" customHeight="1">
      <c r="A20" s="1"/>
      <c r="B20" s="6"/>
      <c r="C20" s="6"/>
      <c r="D20" s="6"/>
      <c r="E20" s="6"/>
      <c r="F20" s="6"/>
      <c r="G20" s="6"/>
      <c r="H20" s="6"/>
      <c r="I20" s="6"/>
      <c r="J20" s="6"/>
      <c r="K20" s="6"/>
      <c r="L20" s="22"/>
      <c r="M20" s="22"/>
      <c r="N20" s="22"/>
      <c r="O20" s="22"/>
      <c r="P20" s="6"/>
      <c r="Q20" s="30"/>
      <c r="R20" s="1"/>
      <c r="S20" s="1"/>
      <c r="T20" s="22"/>
    </row>
    <row r="21" ht="28.5" customHeight="1">
      <c r="A21" s="1"/>
      <c r="B21" s="31" t="s">
        <v>30</v>
      </c>
      <c r="C21" s="32" t="s">
        <v>31</v>
      </c>
      <c r="D21" s="33" t="s">
        <v>32</v>
      </c>
      <c r="E21" s="34" t="s">
        <v>33</v>
      </c>
      <c r="F21" s="34" t="s">
        <v>34</v>
      </c>
      <c r="G21" s="34" t="s">
        <v>35</v>
      </c>
      <c r="H21" s="34" t="s">
        <v>36</v>
      </c>
      <c r="I21" s="34">
        <v>4.0</v>
      </c>
      <c r="J21" s="35"/>
      <c r="K21" s="36" t="s">
        <v>37</v>
      </c>
      <c r="L21" s="37">
        <v>10.8</v>
      </c>
      <c r="M21" s="38">
        <f>N21/80%</f>
        <v>125000</v>
      </c>
      <c r="N21" s="38">
        <v>100000.0</v>
      </c>
      <c r="O21" s="39"/>
      <c r="P21" s="40">
        <f>N21/L21*1000</f>
        <v>9259259.259</v>
      </c>
      <c r="Q21" s="41">
        <v>0.003</v>
      </c>
      <c r="R21" s="42">
        <f>P21*Q21</f>
        <v>27777.77778</v>
      </c>
      <c r="S21" s="43">
        <v>0.7</v>
      </c>
      <c r="T21" s="39"/>
    </row>
    <row r="22" ht="28.5" customHeight="1">
      <c r="A22" s="1"/>
      <c r="B22" s="44"/>
      <c r="C22" s="45" t="s">
        <v>38</v>
      </c>
      <c r="D22" s="44"/>
      <c r="E22" s="44"/>
      <c r="F22" s="44"/>
      <c r="G22" s="44"/>
      <c r="H22" s="44"/>
      <c r="I22" s="44"/>
      <c r="J22" s="35"/>
      <c r="K22" s="46"/>
      <c r="L22" s="47"/>
      <c r="M22" s="48"/>
      <c r="N22" s="48"/>
      <c r="P22" s="44"/>
      <c r="R22" s="48"/>
      <c r="S22" s="49"/>
      <c r="T22" s="39"/>
    </row>
    <row r="23" ht="28.5" customHeight="1">
      <c r="A23" s="1"/>
      <c r="B23" s="44"/>
      <c r="C23" s="45" t="s">
        <v>39</v>
      </c>
      <c r="D23" s="44"/>
      <c r="E23" s="44"/>
      <c r="F23" s="44"/>
      <c r="G23" s="44"/>
      <c r="H23" s="44"/>
      <c r="I23" s="44"/>
      <c r="J23" s="35"/>
      <c r="K23" s="46"/>
      <c r="L23" s="47"/>
      <c r="M23" s="48"/>
      <c r="N23" s="48"/>
      <c r="P23" s="44"/>
      <c r="R23" s="48"/>
      <c r="S23" s="49"/>
      <c r="T23" s="39"/>
    </row>
    <row r="24" ht="28.5" customHeight="1">
      <c r="A24" s="1"/>
      <c r="B24" s="44"/>
      <c r="C24" s="45" t="s">
        <v>40</v>
      </c>
      <c r="D24" s="44"/>
      <c r="E24" s="44"/>
      <c r="F24" s="44"/>
      <c r="G24" s="44"/>
      <c r="H24" s="44"/>
      <c r="I24" s="44"/>
      <c r="J24" s="35"/>
      <c r="K24" s="46"/>
      <c r="L24" s="47"/>
      <c r="M24" s="48"/>
      <c r="N24" s="48"/>
      <c r="P24" s="44"/>
      <c r="R24" s="48"/>
      <c r="S24" s="49"/>
      <c r="T24" s="39"/>
    </row>
    <row r="25" ht="28.5" customHeight="1">
      <c r="A25" s="1"/>
      <c r="B25" s="44"/>
      <c r="C25" s="45" t="s">
        <v>41</v>
      </c>
      <c r="D25" s="44"/>
      <c r="E25" s="44"/>
      <c r="F25" s="44"/>
      <c r="G25" s="44"/>
      <c r="H25" s="44"/>
      <c r="I25" s="44"/>
      <c r="J25" s="35"/>
      <c r="K25" s="46"/>
      <c r="L25" s="47"/>
      <c r="M25" s="48"/>
      <c r="N25" s="48"/>
      <c r="P25" s="44"/>
      <c r="R25" s="48"/>
      <c r="S25" s="49"/>
      <c r="T25" s="39"/>
    </row>
    <row r="26" ht="28.5" customHeight="1">
      <c r="A26" s="1"/>
      <c r="B26" s="44"/>
      <c r="C26" s="45" t="s">
        <v>42</v>
      </c>
      <c r="D26" s="44"/>
      <c r="E26" s="44"/>
      <c r="F26" s="44"/>
      <c r="G26" s="44"/>
      <c r="H26" s="44"/>
      <c r="I26" s="44"/>
      <c r="J26" s="35"/>
      <c r="K26" s="46"/>
      <c r="L26" s="47"/>
      <c r="M26" s="48"/>
      <c r="N26" s="48"/>
      <c r="P26" s="44"/>
      <c r="R26" s="48"/>
      <c r="S26" s="49"/>
      <c r="T26" s="39"/>
    </row>
    <row r="27" ht="32.25" customHeight="1">
      <c r="A27" s="1"/>
      <c r="B27" s="44"/>
      <c r="C27" s="45" t="s">
        <v>43</v>
      </c>
      <c r="D27" s="44"/>
      <c r="E27" s="44"/>
      <c r="F27" s="34" t="s">
        <v>44</v>
      </c>
      <c r="G27" s="44"/>
      <c r="H27" s="34" t="s">
        <v>45</v>
      </c>
      <c r="I27" s="44"/>
      <c r="J27" s="35"/>
      <c r="K27" s="46"/>
      <c r="L27" s="47"/>
      <c r="M27" s="48"/>
      <c r="N27" s="48"/>
      <c r="P27" s="44"/>
      <c r="R27" s="48"/>
      <c r="S27" s="49"/>
      <c r="T27" s="39"/>
    </row>
    <row r="28" ht="32.25" customHeight="1">
      <c r="A28" s="50"/>
      <c r="B28" s="51"/>
      <c r="C28" s="45" t="s">
        <v>46</v>
      </c>
      <c r="D28" s="51"/>
      <c r="E28" s="51"/>
      <c r="F28" s="34" t="s">
        <v>47</v>
      </c>
      <c r="G28" s="51"/>
      <c r="H28" s="34" t="s">
        <v>45</v>
      </c>
      <c r="I28" s="51"/>
      <c r="J28" s="54"/>
      <c r="K28" s="55"/>
      <c r="L28" s="56"/>
      <c r="M28" s="48"/>
      <c r="N28" s="48"/>
      <c r="P28" s="44"/>
      <c r="R28" s="48"/>
      <c r="S28" s="49"/>
      <c r="T28" s="57"/>
    </row>
    <row r="29" ht="15.75" customHeight="1">
      <c r="A29" s="58"/>
      <c r="B29" s="59"/>
      <c r="C29" s="60"/>
      <c r="D29" s="60"/>
      <c r="E29" s="60"/>
      <c r="F29" s="60"/>
      <c r="G29" s="60"/>
      <c r="H29" s="61"/>
      <c r="I29" s="24"/>
      <c r="J29" s="60"/>
      <c r="K29" s="61"/>
      <c r="L29" s="25">
        <f>N29/P29*1000</f>
        <v>10.8</v>
      </c>
      <c r="M29" s="25">
        <f t="shared" ref="M29:N29" si="1">SUM(M21:M28)</f>
        <v>125000</v>
      </c>
      <c r="N29" s="25">
        <f t="shared" si="1"/>
        <v>100000</v>
      </c>
      <c r="O29" s="62"/>
      <c r="P29" s="63">
        <f>SUM(P21:P28)</f>
        <v>9259259.259</v>
      </c>
      <c r="Q29" s="64">
        <f>MEDIAN(Q21:Q28)</f>
        <v>0.003</v>
      </c>
      <c r="R29" s="63">
        <f t="shared" ref="R29:S29" si="2">SUM(R21:R28)</f>
        <v>27777.77778</v>
      </c>
      <c r="S29" s="65">
        <f t="shared" si="2"/>
        <v>0.7</v>
      </c>
      <c r="T29" s="62"/>
    </row>
    <row r="30" ht="15.75" customHeight="1">
      <c r="A30" s="1"/>
      <c r="B30" s="66"/>
      <c r="C30" s="66"/>
      <c r="D30" s="18"/>
      <c r="E30" s="7"/>
      <c r="F30" s="1"/>
      <c r="G30" s="1"/>
      <c r="H30" s="18"/>
      <c r="I30" s="18"/>
      <c r="J30" s="18"/>
      <c r="K30" s="18"/>
      <c r="L30" s="18"/>
      <c r="M30" s="18"/>
      <c r="N30" s="18"/>
      <c r="O30" s="19"/>
      <c r="P30" s="67"/>
      <c r="Q30" s="67"/>
      <c r="R30" s="18"/>
      <c r="S30" s="18"/>
      <c r="T30" s="19"/>
    </row>
    <row r="31" ht="15.75" customHeight="1">
      <c r="A31" s="1"/>
      <c r="B31" s="68" t="s">
        <v>48</v>
      </c>
      <c r="D31" s="17"/>
      <c r="E31" s="7"/>
      <c r="F31" s="1"/>
      <c r="G31" s="1"/>
      <c r="H31" s="17"/>
      <c r="I31" s="17"/>
      <c r="J31" s="18"/>
      <c r="K31" s="18"/>
      <c r="L31" s="18"/>
      <c r="M31" s="18"/>
      <c r="N31" s="18"/>
      <c r="O31" s="19"/>
      <c r="P31" s="20"/>
      <c r="Q31" s="20"/>
      <c r="R31" s="17"/>
      <c r="S31" s="17"/>
      <c r="T31" s="19"/>
    </row>
    <row r="32" ht="7.5" customHeight="1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22"/>
      <c r="P32" s="3"/>
      <c r="Q32" s="3"/>
      <c r="R32" s="1"/>
      <c r="S32" s="1"/>
      <c r="T32" s="22"/>
    </row>
    <row r="33" ht="15.75" customHeight="1">
      <c r="A33" s="1"/>
      <c r="B33" s="23" t="s">
        <v>14</v>
      </c>
      <c r="C33" s="23" t="s">
        <v>15</v>
      </c>
      <c r="D33" s="23" t="s">
        <v>16</v>
      </c>
      <c r="E33" s="23" t="s">
        <v>17</v>
      </c>
      <c r="F33" s="23" t="s">
        <v>18</v>
      </c>
      <c r="G33" s="23" t="s">
        <v>19</v>
      </c>
      <c r="H33" s="23" t="s">
        <v>20</v>
      </c>
      <c r="I33" s="24" t="s">
        <v>21</v>
      </c>
      <c r="J33" s="18"/>
      <c r="K33" s="23" t="s">
        <v>22</v>
      </c>
      <c r="L33" s="25" t="s">
        <v>23</v>
      </c>
      <c r="M33" s="26" t="s">
        <v>24</v>
      </c>
      <c r="N33" s="26" t="s">
        <v>25</v>
      </c>
      <c r="O33" s="27"/>
      <c r="P33" s="69" t="s">
        <v>26</v>
      </c>
      <c r="Q33" s="8" t="s">
        <v>49</v>
      </c>
      <c r="R33" s="8" t="s">
        <v>50</v>
      </c>
      <c r="S33" s="23" t="s">
        <v>29</v>
      </c>
      <c r="T33" s="27"/>
    </row>
    <row r="34" ht="7.5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22"/>
      <c r="M34" s="22"/>
      <c r="N34" s="22"/>
      <c r="O34" s="22"/>
      <c r="P34" s="6"/>
      <c r="Q34" s="30"/>
      <c r="R34" s="30"/>
      <c r="S34" s="1"/>
      <c r="T34" s="22"/>
    </row>
    <row r="35" ht="27.75" customHeight="1">
      <c r="A35" s="1"/>
      <c r="B35" s="31" t="s">
        <v>30</v>
      </c>
      <c r="C35" s="70" t="s">
        <v>51</v>
      </c>
      <c r="D35" s="33" t="s">
        <v>32</v>
      </c>
      <c r="E35" s="53" t="s">
        <v>52</v>
      </c>
      <c r="F35" s="34" t="str">
        <f t="shared" ref="F35:I35" si="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35" s="34" t="str">
        <f t="shared" si="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35" s="34" t="str">
        <f t="shared" si="3"/>
        <v>Brasil</v>
      </c>
      <c r="I35" s="34">
        <f t="shared" si="3"/>
        <v>4</v>
      </c>
      <c r="J35" s="35"/>
      <c r="K35" s="72" t="s">
        <v>37</v>
      </c>
      <c r="L35" s="77">
        <v>40.0</v>
      </c>
      <c r="M35" s="80">
        <f t="shared" ref="M35:M36" si="4">N35/80%</f>
        <v>0</v>
      </c>
      <c r="N35" s="80">
        <v>0.0</v>
      </c>
      <c r="O35" s="57"/>
      <c r="P35" s="81">
        <f t="shared" ref="P35:P36" si="5">N35/L35*1000</f>
        <v>0</v>
      </c>
      <c r="Q35" s="82">
        <v>0.9</v>
      </c>
      <c r="R35" s="81">
        <f t="shared" ref="R35:R36" si="6">P35*Q35</f>
        <v>0</v>
      </c>
      <c r="S35" s="79">
        <v>0.7</v>
      </c>
      <c r="T35" s="39"/>
    </row>
    <row r="36" ht="27.75" customHeight="1">
      <c r="A36" s="1"/>
      <c r="B36" s="44"/>
      <c r="C36" s="32" t="s">
        <v>31</v>
      </c>
      <c r="D36" s="44"/>
      <c r="E36" s="34" t="s">
        <v>53</v>
      </c>
      <c r="F36" s="44"/>
      <c r="G36" s="44"/>
      <c r="H36" s="44"/>
      <c r="I36" s="44"/>
      <c r="J36" s="35"/>
      <c r="K36" s="46"/>
      <c r="L36" s="37">
        <v>24.0</v>
      </c>
      <c r="M36" s="74">
        <f t="shared" si="4"/>
        <v>150000</v>
      </c>
      <c r="N36" s="74">
        <v>120000.0</v>
      </c>
      <c r="O36" s="39"/>
      <c r="P36" s="75">
        <f t="shared" si="5"/>
        <v>5000000</v>
      </c>
      <c r="Q36" s="79">
        <v>0.4</v>
      </c>
      <c r="R36" s="75">
        <f t="shared" si="6"/>
        <v>2000000</v>
      </c>
      <c r="S36" s="48"/>
      <c r="T36" s="39"/>
    </row>
    <row r="37" ht="27.75" customHeight="1">
      <c r="A37" s="1"/>
      <c r="B37" s="44"/>
      <c r="C37" s="45" t="s">
        <v>38</v>
      </c>
      <c r="D37" s="44"/>
      <c r="E37" s="44"/>
      <c r="F37" s="44"/>
      <c r="G37" s="44"/>
      <c r="H37" s="44"/>
      <c r="I37" s="44"/>
      <c r="J37" s="35"/>
      <c r="K37" s="46"/>
      <c r="L37" s="47"/>
      <c r="M37" s="84"/>
      <c r="N37" s="84"/>
      <c r="P37" s="46"/>
      <c r="Q37" s="48"/>
      <c r="R37" s="46"/>
      <c r="S37" s="48"/>
      <c r="T37" s="39"/>
    </row>
    <row r="38" ht="27.75" customHeight="1">
      <c r="A38" s="1"/>
      <c r="B38" s="44"/>
      <c r="C38" s="45" t="s">
        <v>39</v>
      </c>
      <c r="D38" s="44"/>
      <c r="E38" s="44"/>
      <c r="F38" s="44"/>
      <c r="G38" s="44"/>
      <c r="H38" s="44"/>
      <c r="I38" s="44"/>
      <c r="J38" s="35"/>
      <c r="K38" s="46"/>
      <c r="L38" s="47"/>
      <c r="M38" s="84"/>
      <c r="N38" s="84"/>
      <c r="P38" s="46"/>
      <c r="Q38" s="48"/>
      <c r="R38" s="46"/>
      <c r="S38" s="48"/>
      <c r="T38" s="39"/>
    </row>
    <row r="39" ht="27.75" customHeight="1">
      <c r="A39" s="1"/>
      <c r="B39" s="44"/>
      <c r="C39" s="45" t="s">
        <v>40</v>
      </c>
      <c r="D39" s="44"/>
      <c r="E39" s="44"/>
      <c r="F39" s="44"/>
      <c r="G39" s="44"/>
      <c r="H39" s="44"/>
      <c r="I39" s="44"/>
      <c r="J39" s="35"/>
      <c r="K39" s="46"/>
      <c r="L39" s="47"/>
      <c r="M39" s="84"/>
      <c r="N39" s="84"/>
      <c r="P39" s="46"/>
      <c r="Q39" s="48"/>
      <c r="R39" s="46"/>
      <c r="S39" s="48"/>
      <c r="T39" s="39"/>
    </row>
    <row r="40" ht="27.75" customHeight="1">
      <c r="A40" s="1"/>
      <c r="B40" s="44"/>
      <c r="C40" s="45" t="s">
        <v>41</v>
      </c>
      <c r="D40" s="44"/>
      <c r="E40" s="44"/>
      <c r="F40" s="44"/>
      <c r="G40" s="44"/>
      <c r="H40" s="44"/>
      <c r="I40" s="44"/>
      <c r="J40" s="35"/>
      <c r="K40" s="46"/>
      <c r="L40" s="47"/>
      <c r="M40" s="84"/>
      <c r="N40" s="84"/>
      <c r="P40" s="46"/>
      <c r="Q40" s="48"/>
      <c r="R40" s="46"/>
      <c r="S40" s="48"/>
      <c r="T40" s="39"/>
    </row>
    <row r="41" ht="27.75" customHeight="1">
      <c r="A41" s="1"/>
      <c r="B41" s="51"/>
      <c r="C41" s="45" t="s">
        <v>42</v>
      </c>
      <c r="D41" s="51"/>
      <c r="E41" s="51"/>
      <c r="F41" s="51"/>
      <c r="G41" s="51"/>
      <c r="H41" s="51"/>
      <c r="I41" s="51"/>
      <c r="J41" s="35"/>
      <c r="K41" s="55"/>
      <c r="L41" s="56"/>
      <c r="M41" s="84"/>
      <c r="N41" s="84"/>
      <c r="P41" s="46"/>
      <c r="Q41" s="85"/>
      <c r="R41" s="46"/>
      <c r="S41" s="85"/>
      <c r="T41" s="39"/>
    </row>
    <row r="42" ht="15.75" customHeight="1">
      <c r="A42" s="58"/>
      <c r="B42" s="59"/>
      <c r="C42" s="60"/>
      <c r="D42" s="60"/>
      <c r="E42" s="60"/>
      <c r="F42" s="60"/>
      <c r="G42" s="60"/>
      <c r="H42" s="61"/>
      <c r="I42" s="86"/>
      <c r="J42" s="87"/>
      <c r="K42" s="88"/>
      <c r="L42" s="25">
        <f>N42/P42*1000</f>
        <v>24</v>
      </c>
      <c r="M42" s="25">
        <f t="shared" ref="M42:N42" si="7">SUM(M35:M41)</f>
        <v>150000</v>
      </c>
      <c r="N42" s="25">
        <f t="shared" si="7"/>
        <v>120000</v>
      </c>
      <c r="O42" s="62"/>
      <c r="P42" s="63">
        <f>SUM(P35:P41)</f>
        <v>5000000</v>
      </c>
      <c r="Q42" s="89">
        <f>R42/P42</f>
        <v>0.4</v>
      </c>
      <c r="R42" s="63">
        <f>SUM(R35:R41)</f>
        <v>2000000</v>
      </c>
      <c r="S42" s="90">
        <f>S35</f>
        <v>0.7</v>
      </c>
      <c r="T42" s="62"/>
    </row>
    <row r="43">
      <c r="A43" s="1"/>
      <c r="B43" s="91"/>
      <c r="C43" s="5"/>
      <c r="D43" s="1"/>
      <c r="E43" s="1"/>
      <c r="F43" s="5"/>
      <c r="G43" s="5"/>
      <c r="H43" s="5"/>
      <c r="I43" s="5"/>
      <c r="J43" s="35"/>
      <c r="K43" s="1"/>
      <c r="L43" s="39"/>
      <c r="M43" s="39"/>
      <c r="N43" s="39"/>
      <c r="O43" s="39"/>
      <c r="P43" s="35"/>
      <c r="Q43" s="92"/>
      <c r="R43" s="35"/>
      <c r="S43" s="93"/>
      <c r="T43" s="39"/>
    </row>
    <row r="44" ht="15.75" customHeight="1">
      <c r="A44" s="1"/>
      <c r="B44" s="68" t="s">
        <v>54</v>
      </c>
      <c r="D44" s="17"/>
      <c r="E44" s="7"/>
      <c r="F44" s="1"/>
      <c r="G44" s="1"/>
      <c r="H44" s="17"/>
      <c r="I44" s="17"/>
      <c r="J44" s="18"/>
      <c r="K44" s="18"/>
      <c r="L44" s="18"/>
      <c r="M44" s="18"/>
      <c r="N44" s="18"/>
      <c r="O44" s="19"/>
      <c r="P44" s="20"/>
      <c r="Q44" s="20"/>
      <c r="R44" s="17"/>
      <c r="S44" s="17"/>
      <c r="T44" s="19"/>
    </row>
    <row r="45" ht="7.5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2"/>
      <c r="P45" s="3"/>
      <c r="Q45" s="3"/>
      <c r="R45" s="1"/>
      <c r="S45" s="1"/>
      <c r="T45" s="22"/>
    </row>
    <row r="46" ht="15.75" customHeight="1">
      <c r="A46" s="1"/>
      <c r="B46" s="23" t="s">
        <v>14</v>
      </c>
      <c r="C46" s="23" t="s">
        <v>15</v>
      </c>
      <c r="D46" s="23" t="s">
        <v>16</v>
      </c>
      <c r="E46" s="23" t="s">
        <v>17</v>
      </c>
      <c r="F46" s="23" t="s">
        <v>18</v>
      </c>
      <c r="G46" s="23" t="s">
        <v>19</v>
      </c>
      <c r="H46" s="23" t="s">
        <v>20</v>
      </c>
      <c r="I46" s="24" t="s">
        <v>21</v>
      </c>
      <c r="J46" s="18"/>
      <c r="K46" s="23" t="s">
        <v>22</v>
      </c>
      <c r="L46" s="25" t="s">
        <v>23</v>
      </c>
      <c r="M46" s="26" t="s">
        <v>24</v>
      </c>
      <c r="N46" s="26" t="s">
        <v>25</v>
      </c>
      <c r="O46" s="27"/>
      <c r="P46" s="28" t="s">
        <v>26</v>
      </c>
      <c r="Q46" s="29" t="s">
        <v>27</v>
      </c>
      <c r="R46" s="23" t="s">
        <v>28</v>
      </c>
      <c r="S46" s="23" t="s">
        <v>29</v>
      </c>
      <c r="T46" s="27"/>
    </row>
    <row r="47" ht="7.5" customHeight="1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22"/>
      <c r="M47" s="22"/>
      <c r="N47" s="22"/>
      <c r="O47" s="22"/>
      <c r="P47" s="6"/>
      <c r="Q47" s="30"/>
      <c r="R47" s="1"/>
      <c r="S47" s="1"/>
      <c r="T47" s="22"/>
    </row>
    <row r="48" ht="25.5" customHeight="1">
      <c r="A48" s="1"/>
      <c r="B48" s="31" t="s">
        <v>30</v>
      </c>
      <c r="C48" s="94" t="s">
        <v>55</v>
      </c>
      <c r="D48" s="34" t="s">
        <v>56</v>
      </c>
      <c r="E48" s="95" t="s">
        <v>57</v>
      </c>
      <c r="F48" s="34" t="str">
        <f t="shared" ref="F48:I48" si="8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48" s="34" t="str">
        <f t="shared" si="8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48" s="34" t="str">
        <f t="shared" si="8"/>
        <v>Brasil</v>
      </c>
      <c r="I48" s="34">
        <f t="shared" si="8"/>
        <v>4</v>
      </c>
      <c r="J48" s="35"/>
      <c r="K48" s="72" t="s">
        <v>37</v>
      </c>
      <c r="L48" s="96">
        <v>203.0</v>
      </c>
      <c r="M48" s="38">
        <f t="shared" ref="M48:M52" si="9">N48/80%</f>
        <v>250000</v>
      </c>
      <c r="N48" s="38">
        <v>200000.0</v>
      </c>
      <c r="O48" s="39"/>
      <c r="P48" s="40">
        <f t="shared" ref="P48:P52" si="10">N48/L48*1000</f>
        <v>985221.6749</v>
      </c>
      <c r="Q48" s="97">
        <v>0.0</v>
      </c>
      <c r="R48" s="42">
        <f t="shared" ref="R48:R52" si="11">P48*Q48</f>
        <v>0</v>
      </c>
      <c r="S48" s="76">
        <v>0.98</v>
      </c>
      <c r="T48" s="39"/>
    </row>
    <row r="49" ht="25.5" customHeight="1">
      <c r="A49" s="1"/>
      <c r="B49" s="44"/>
      <c r="C49" s="98" t="s">
        <v>58</v>
      </c>
      <c r="D49" s="53" t="s">
        <v>56</v>
      </c>
      <c r="E49" s="99" t="s">
        <v>57</v>
      </c>
      <c r="F49" s="44"/>
      <c r="G49" s="44"/>
      <c r="H49" s="44"/>
      <c r="I49" s="44"/>
      <c r="J49" s="35"/>
      <c r="K49" s="46"/>
      <c r="L49" s="100">
        <v>155.0</v>
      </c>
      <c r="M49" s="101">
        <f t="shared" si="9"/>
        <v>0</v>
      </c>
      <c r="N49" s="101">
        <v>0.0</v>
      </c>
      <c r="O49" s="57"/>
      <c r="P49" s="102">
        <f t="shared" si="10"/>
        <v>0</v>
      </c>
      <c r="Q49" s="103">
        <v>0.0</v>
      </c>
      <c r="R49" s="104">
        <f t="shared" si="11"/>
        <v>0</v>
      </c>
      <c r="S49" s="82">
        <v>0.98</v>
      </c>
      <c r="T49" s="39"/>
    </row>
    <row r="50" ht="25.5" customHeight="1">
      <c r="A50" s="1"/>
      <c r="B50" s="44"/>
      <c r="C50" s="98" t="s">
        <v>59</v>
      </c>
      <c r="D50" s="53" t="s">
        <v>56</v>
      </c>
      <c r="E50" s="99" t="s">
        <v>57</v>
      </c>
      <c r="F50" s="44"/>
      <c r="G50" s="44"/>
      <c r="H50" s="44"/>
      <c r="I50" s="44"/>
      <c r="J50" s="35"/>
      <c r="K50" s="46"/>
      <c r="L50" s="100">
        <v>177.0</v>
      </c>
      <c r="M50" s="101">
        <f t="shared" si="9"/>
        <v>0</v>
      </c>
      <c r="N50" s="101">
        <v>0.0</v>
      </c>
      <c r="O50" s="57"/>
      <c r="P50" s="102">
        <f t="shared" si="10"/>
        <v>0</v>
      </c>
      <c r="Q50" s="103">
        <v>0.0</v>
      </c>
      <c r="R50" s="104">
        <f t="shared" si="11"/>
        <v>0</v>
      </c>
      <c r="S50" s="82">
        <v>0.98</v>
      </c>
      <c r="T50" s="39"/>
    </row>
    <row r="51" ht="25.5" customHeight="1">
      <c r="A51" s="1"/>
      <c r="B51" s="44"/>
      <c r="C51" s="94" t="s">
        <v>60</v>
      </c>
      <c r="D51" s="34" t="s">
        <v>56</v>
      </c>
      <c r="E51" s="95" t="s">
        <v>57</v>
      </c>
      <c r="F51" s="44"/>
      <c r="G51" s="44"/>
      <c r="H51" s="44"/>
      <c r="I51" s="44"/>
      <c r="J51" s="35"/>
      <c r="K51" s="46"/>
      <c r="L51" s="96">
        <v>198.0</v>
      </c>
      <c r="M51" s="38">
        <f t="shared" si="9"/>
        <v>500000</v>
      </c>
      <c r="N51" s="38">
        <v>400000.0</v>
      </c>
      <c r="O51" s="39"/>
      <c r="P51" s="40">
        <f t="shared" si="10"/>
        <v>2020202.02</v>
      </c>
      <c r="Q51" s="97">
        <v>0.0</v>
      </c>
      <c r="R51" s="42">
        <f t="shared" si="11"/>
        <v>0</v>
      </c>
      <c r="S51" s="76">
        <v>0.98</v>
      </c>
      <c r="T51" s="39"/>
    </row>
    <row r="52" ht="25.5" customHeight="1">
      <c r="A52" s="1"/>
      <c r="B52" s="51"/>
      <c r="C52" s="94" t="s">
        <v>61</v>
      </c>
      <c r="D52" s="33" t="s">
        <v>32</v>
      </c>
      <c r="E52" s="95" t="s">
        <v>62</v>
      </c>
      <c r="F52" s="51"/>
      <c r="G52" s="51"/>
      <c r="H52" s="51"/>
      <c r="I52" s="51"/>
      <c r="J52" s="35"/>
      <c r="K52" s="55"/>
      <c r="L52" s="96">
        <v>25.0</v>
      </c>
      <c r="M52" s="38">
        <f t="shared" si="9"/>
        <v>150000</v>
      </c>
      <c r="N52" s="38">
        <v>120000.0</v>
      </c>
      <c r="O52" s="39"/>
      <c r="P52" s="40">
        <f t="shared" si="10"/>
        <v>4800000</v>
      </c>
      <c r="Q52" s="106">
        <v>0.01</v>
      </c>
      <c r="R52" s="42">
        <f t="shared" si="11"/>
        <v>48000</v>
      </c>
      <c r="S52" s="76">
        <v>0.7</v>
      </c>
      <c r="T52" s="39"/>
    </row>
    <row r="53" ht="15.75" customHeight="1">
      <c r="A53" s="58"/>
      <c r="B53" s="59"/>
      <c r="C53" s="60"/>
      <c r="D53" s="60"/>
      <c r="E53" s="60"/>
      <c r="F53" s="60"/>
      <c r="G53" s="60"/>
      <c r="H53" s="61"/>
      <c r="I53" s="86"/>
      <c r="J53" s="87"/>
      <c r="K53" s="88"/>
      <c r="L53" s="25">
        <f>N53/P53*1000</f>
        <v>92.24355117</v>
      </c>
      <c r="M53" s="25">
        <f t="shared" ref="M53:N53" si="12">SUM(M48:M52)</f>
        <v>900000</v>
      </c>
      <c r="N53" s="25">
        <f t="shared" si="12"/>
        <v>720000</v>
      </c>
      <c r="O53" s="62"/>
      <c r="P53" s="63">
        <f>SUM(P48:P52)</f>
        <v>7805423.695</v>
      </c>
      <c r="Q53" s="107" t="s">
        <v>63</v>
      </c>
      <c r="R53" s="63">
        <f>SUM(R48:R52)</f>
        <v>48000</v>
      </c>
      <c r="S53" s="108" t="s">
        <v>63</v>
      </c>
      <c r="T53" s="62"/>
    </row>
    <row r="54">
      <c r="A54" s="1"/>
      <c r="B54" s="91"/>
      <c r="C54" s="5"/>
      <c r="D54" s="1"/>
      <c r="E54" s="1"/>
      <c r="F54" s="5"/>
      <c r="G54" s="5"/>
      <c r="H54" s="5"/>
      <c r="I54" s="5"/>
      <c r="J54" s="35"/>
      <c r="K54" s="1"/>
      <c r="L54" s="39"/>
      <c r="M54" s="39"/>
      <c r="N54" s="39"/>
      <c r="O54" s="39"/>
      <c r="P54" s="35"/>
      <c r="Q54" s="92"/>
      <c r="R54" s="35"/>
      <c r="S54" s="93"/>
      <c r="T54" s="39"/>
    </row>
    <row r="55" ht="15.75" customHeight="1">
      <c r="A55" s="1"/>
      <c r="B55" s="68" t="s">
        <v>64</v>
      </c>
      <c r="D55" s="17"/>
      <c r="E55" s="7"/>
      <c r="F55" s="1"/>
      <c r="G55" s="1"/>
      <c r="H55" s="17"/>
      <c r="I55" s="17"/>
      <c r="J55" s="18"/>
      <c r="K55" s="18"/>
      <c r="L55" s="18"/>
      <c r="M55" s="18"/>
      <c r="N55" s="18"/>
      <c r="O55" s="19"/>
      <c r="P55" s="20"/>
      <c r="Q55" s="20"/>
      <c r="R55" s="17"/>
      <c r="S55" s="17"/>
      <c r="T55" s="19"/>
    </row>
    <row r="56" ht="7.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22"/>
      <c r="P56" s="3"/>
      <c r="Q56" s="3"/>
      <c r="R56" s="1"/>
      <c r="S56" s="1"/>
      <c r="T56" s="22"/>
    </row>
    <row r="57" ht="15.75" customHeight="1">
      <c r="A57" s="1"/>
      <c r="B57" s="23" t="s">
        <v>14</v>
      </c>
      <c r="C57" s="23" t="s">
        <v>15</v>
      </c>
      <c r="D57" s="23" t="s">
        <v>16</v>
      </c>
      <c r="E57" s="23" t="s">
        <v>17</v>
      </c>
      <c r="F57" s="23" t="s">
        <v>18</v>
      </c>
      <c r="G57" s="23" t="s">
        <v>19</v>
      </c>
      <c r="H57" s="23" t="s">
        <v>20</v>
      </c>
      <c r="I57" s="24" t="s">
        <v>21</v>
      </c>
      <c r="J57" s="18"/>
      <c r="K57" s="23" t="s">
        <v>22</v>
      </c>
      <c r="L57" s="25" t="s">
        <v>23</v>
      </c>
      <c r="M57" s="26" t="s">
        <v>24</v>
      </c>
      <c r="N57" s="26" t="s">
        <v>25</v>
      </c>
      <c r="O57" s="27"/>
      <c r="P57" s="28" t="s">
        <v>26</v>
      </c>
      <c r="Q57" s="26" t="s">
        <v>27</v>
      </c>
      <c r="R57" s="109" t="s">
        <v>28</v>
      </c>
      <c r="S57" s="23" t="s">
        <v>29</v>
      </c>
      <c r="T57" s="27"/>
    </row>
    <row r="58" ht="7.5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22"/>
      <c r="M58" s="22"/>
      <c r="N58" s="22"/>
      <c r="O58" s="22"/>
      <c r="P58" s="6"/>
      <c r="Q58" s="30"/>
      <c r="R58" s="1"/>
      <c r="S58" s="1"/>
      <c r="T58" s="22"/>
    </row>
    <row r="59" ht="55.5" customHeight="1">
      <c r="A59" s="50"/>
      <c r="B59" s="110" t="s">
        <v>30</v>
      </c>
      <c r="C59" s="52" t="s">
        <v>65</v>
      </c>
      <c r="D59" s="111" t="s">
        <v>32</v>
      </c>
      <c r="E59" s="52" t="s">
        <v>66</v>
      </c>
      <c r="F59" s="112" t="str">
        <f t="shared" ref="F59:I59" si="1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59" s="112" t="str">
        <f t="shared" si="1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59" s="112" t="str">
        <f t="shared" si="13"/>
        <v>Brasil</v>
      </c>
      <c r="I59" s="112">
        <f t="shared" si="13"/>
        <v>4</v>
      </c>
      <c r="J59" s="54"/>
      <c r="K59" s="113" t="s">
        <v>67</v>
      </c>
      <c r="L59" s="114">
        <v>0.9</v>
      </c>
      <c r="M59" s="101">
        <f>N59/80%</f>
        <v>0</v>
      </c>
      <c r="N59" s="101">
        <v>0.0</v>
      </c>
      <c r="O59" s="57"/>
      <c r="P59" s="81">
        <f>R59/Q59</f>
        <v>0</v>
      </c>
      <c r="Q59" s="103">
        <v>0.01</v>
      </c>
      <c r="R59" s="104">
        <f>N59/L59</f>
        <v>0</v>
      </c>
      <c r="S59" s="82">
        <v>0.7</v>
      </c>
      <c r="T59" s="57"/>
    </row>
    <row r="60" ht="15.75" customHeight="1">
      <c r="A60" s="58"/>
      <c r="B60" s="59"/>
      <c r="C60" s="60"/>
      <c r="D60" s="60"/>
      <c r="E60" s="60"/>
      <c r="F60" s="60"/>
      <c r="G60" s="60"/>
      <c r="H60" s="61"/>
      <c r="I60" s="86"/>
      <c r="J60" s="87"/>
      <c r="K60" s="88"/>
      <c r="L60" s="25">
        <f>AVERAGE(L59)</f>
        <v>0.9</v>
      </c>
      <c r="M60" s="25">
        <f t="shared" ref="M60:N60" si="14">SUM(M59)</f>
        <v>0</v>
      </c>
      <c r="N60" s="25">
        <f t="shared" si="14"/>
        <v>0</v>
      </c>
      <c r="O60" s="62"/>
      <c r="P60" s="63">
        <f>SUM(P59)</f>
        <v>0</v>
      </c>
      <c r="Q60" s="64" t="str">
        <f>R60/P60</f>
        <v>#DIV/0!</v>
      </c>
      <c r="R60" s="63">
        <f>SUM(R59)</f>
        <v>0</v>
      </c>
      <c r="S60" s="90">
        <f>S59</f>
        <v>0.7</v>
      </c>
      <c r="T60" s="62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5.75" customHeight="1">
      <c r="A62" s="1"/>
      <c r="B62" s="68" t="s">
        <v>68</v>
      </c>
      <c r="D62" s="17"/>
      <c r="E62" s="7"/>
      <c r="F62" s="1"/>
      <c r="G62" s="1"/>
      <c r="H62" s="17"/>
      <c r="I62" s="17"/>
      <c r="J62" s="18"/>
      <c r="K62" s="18"/>
      <c r="L62" s="18"/>
      <c r="M62" s="18"/>
      <c r="N62" s="18"/>
      <c r="O62" s="19"/>
      <c r="P62" s="20"/>
      <c r="Q62" s="20"/>
      <c r="R62" s="17"/>
      <c r="S62" s="17"/>
      <c r="T62" s="19"/>
    </row>
    <row r="63" ht="7.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22"/>
      <c r="P63" s="3"/>
      <c r="Q63" s="3"/>
      <c r="R63" s="1"/>
      <c r="S63" s="1"/>
      <c r="T63" s="22"/>
    </row>
    <row r="64" ht="15.75" customHeight="1">
      <c r="A64" s="1"/>
      <c r="B64" s="23" t="s">
        <v>14</v>
      </c>
      <c r="C64" s="23" t="s">
        <v>15</v>
      </c>
      <c r="D64" s="23" t="s">
        <v>16</v>
      </c>
      <c r="E64" s="23" t="s">
        <v>17</v>
      </c>
      <c r="F64" s="23" t="s">
        <v>18</v>
      </c>
      <c r="G64" s="23" t="s">
        <v>19</v>
      </c>
      <c r="H64" s="23" t="s">
        <v>20</v>
      </c>
      <c r="I64" s="24" t="s">
        <v>21</v>
      </c>
      <c r="J64" s="18"/>
      <c r="K64" s="23" t="s">
        <v>22</v>
      </c>
      <c r="L64" s="25" t="s">
        <v>23</v>
      </c>
      <c r="M64" s="26" t="s">
        <v>24</v>
      </c>
      <c r="N64" s="26" t="s">
        <v>25</v>
      </c>
      <c r="O64" s="27"/>
      <c r="P64" s="28" t="s">
        <v>26</v>
      </c>
      <c r="Q64" s="26" t="s">
        <v>27</v>
      </c>
      <c r="R64" s="109" t="s">
        <v>28</v>
      </c>
      <c r="S64" s="23" t="s">
        <v>29</v>
      </c>
      <c r="T64" s="27"/>
    </row>
    <row r="65" ht="7.5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22"/>
      <c r="M65" s="22"/>
      <c r="N65" s="22"/>
      <c r="O65" s="22"/>
      <c r="P65" s="6"/>
      <c r="Q65" s="30"/>
      <c r="R65" s="1"/>
      <c r="S65" s="1"/>
      <c r="T65" s="22"/>
    </row>
    <row r="66" ht="36.75" customHeight="1">
      <c r="A66" s="1"/>
      <c r="B66" s="31" t="s">
        <v>30</v>
      </c>
      <c r="C66" s="116" t="s">
        <v>69</v>
      </c>
      <c r="D66" s="72" t="s">
        <v>70</v>
      </c>
      <c r="E66" s="116" t="s">
        <v>71</v>
      </c>
      <c r="F66" s="123" t="str">
        <f t="shared" ref="F66:H66" si="15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66" s="123" t="str">
        <f t="shared" si="15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66" s="123" t="str">
        <f t="shared" si="15"/>
        <v>Brasil</v>
      </c>
      <c r="I66" s="123">
        <v>2.0</v>
      </c>
      <c r="J66" s="35"/>
      <c r="K66" s="72" t="s">
        <v>72</v>
      </c>
      <c r="L66" s="120">
        <v>0.7</v>
      </c>
      <c r="M66" s="38">
        <f t="shared" ref="M66:M67" si="16">N66/80%</f>
        <v>75000</v>
      </c>
      <c r="N66" s="38">
        <v>60000.0</v>
      </c>
      <c r="O66" s="39"/>
      <c r="P66" s="75">
        <f t="shared" ref="P66:P67" si="17">N66/L66</f>
        <v>85714.28571</v>
      </c>
      <c r="Q66" s="97">
        <v>0.02</v>
      </c>
      <c r="R66" s="42">
        <f t="shared" ref="R66:R67" si="18">P66*Q66</f>
        <v>1714.285714</v>
      </c>
      <c r="S66" s="79">
        <v>0.9</v>
      </c>
      <c r="T66" s="39"/>
    </row>
    <row r="67" ht="36.75" customHeight="1">
      <c r="A67" s="50"/>
      <c r="B67" s="51"/>
      <c r="C67" s="52" t="s">
        <v>73</v>
      </c>
      <c r="D67" s="55"/>
      <c r="E67" s="52" t="s">
        <v>71</v>
      </c>
      <c r="F67" s="122"/>
      <c r="G67" s="122"/>
      <c r="H67" s="122"/>
      <c r="I67" s="121">
        <v>1.0</v>
      </c>
      <c r="J67" s="54"/>
      <c r="K67" s="78" t="s">
        <v>72</v>
      </c>
      <c r="L67" s="114">
        <v>0.7</v>
      </c>
      <c r="M67" s="101">
        <f t="shared" si="16"/>
        <v>0</v>
      </c>
      <c r="N67" s="101">
        <v>0.0</v>
      </c>
      <c r="O67" s="57"/>
      <c r="P67" s="81">
        <f t="shared" si="17"/>
        <v>0</v>
      </c>
      <c r="Q67" s="103">
        <v>0.02</v>
      </c>
      <c r="R67" s="104">
        <f t="shared" si="18"/>
        <v>0</v>
      </c>
      <c r="S67" s="85"/>
      <c r="T67" s="57"/>
    </row>
    <row r="68" ht="15.75" customHeight="1">
      <c r="A68" s="58"/>
      <c r="B68" s="59"/>
      <c r="C68" s="60"/>
      <c r="D68" s="60"/>
      <c r="E68" s="60"/>
      <c r="F68" s="60"/>
      <c r="G68" s="60"/>
      <c r="H68" s="61"/>
      <c r="I68" s="86"/>
      <c r="J68" s="87"/>
      <c r="K68" s="88"/>
      <c r="L68" s="26" t="s">
        <v>74</v>
      </c>
      <c r="M68" s="25">
        <f t="shared" ref="M68:N68" si="19">SUM(M66:M67)</f>
        <v>75000</v>
      </c>
      <c r="N68" s="25">
        <f t="shared" si="19"/>
        <v>60000</v>
      </c>
      <c r="O68" s="62"/>
      <c r="P68" s="63">
        <f>SUM(P66:P67)</f>
        <v>85714.28571</v>
      </c>
      <c r="Q68" s="64">
        <f>R68/P68</f>
        <v>0.02</v>
      </c>
      <c r="R68" s="63">
        <f>SUM(R66:R67)</f>
        <v>1714.285714</v>
      </c>
      <c r="S68" s="90">
        <f>S66</f>
        <v>0.9</v>
      </c>
      <c r="T68" s="62"/>
    </row>
    <row r="69" ht="15.75" customHeight="1">
      <c r="A69" s="124"/>
      <c r="B69" s="18"/>
      <c r="C69" s="18"/>
      <c r="D69" s="18"/>
      <c r="E69" s="18"/>
      <c r="F69" s="18"/>
      <c r="G69" s="18"/>
      <c r="H69" s="18"/>
      <c r="I69" s="17"/>
      <c r="J69" s="18"/>
      <c r="K69" s="18"/>
      <c r="L69" s="125"/>
      <c r="M69" s="126"/>
      <c r="N69" s="126"/>
      <c r="O69" s="19"/>
      <c r="P69" s="20"/>
      <c r="Q69" s="20"/>
      <c r="R69" s="20"/>
      <c r="S69" s="20"/>
      <c r="T69" s="19"/>
    </row>
    <row r="70" ht="15.75" customHeight="1">
      <c r="A70" s="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127" t="s">
        <v>74</v>
      </c>
      <c r="M70" s="128" t="s">
        <v>24</v>
      </c>
      <c r="N70" s="129" t="s">
        <v>25</v>
      </c>
      <c r="O70" s="19"/>
      <c r="P70" s="130" t="s">
        <v>26</v>
      </c>
      <c r="Q70" s="131" t="s">
        <v>28</v>
      </c>
      <c r="R70" s="132" t="s">
        <v>75</v>
      </c>
      <c r="S70" s="20"/>
      <c r="T70" s="19"/>
    </row>
    <row r="71" ht="15.75" customHeight="1">
      <c r="A71" s="1"/>
      <c r="B71" s="133"/>
      <c r="C71" s="60"/>
      <c r="D71" s="60"/>
      <c r="E71" s="60"/>
      <c r="F71" s="60"/>
      <c r="G71" s="60"/>
      <c r="H71" s="61"/>
      <c r="I71" s="134" t="s">
        <v>76</v>
      </c>
      <c r="J71" s="60"/>
      <c r="K71" s="61"/>
      <c r="L71" s="127" t="s">
        <v>74</v>
      </c>
      <c r="M71" s="135">
        <f t="shared" ref="M71:M72" si="20">N71/80%</f>
        <v>1250000</v>
      </c>
      <c r="N71" s="135">
        <f>SUM(N68,N53,N42,N29,N60)</f>
        <v>1000000</v>
      </c>
      <c r="O71" s="19"/>
      <c r="P71" s="136">
        <f>SUM(P68,P53,P42,P29,P60)</f>
        <v>22150397.24</v>
      </c>
      <c r="Q71" s="137">
        <f>R53+R29+R68+R60</f>
        <v>77492.06349</v>
      </c>
      <c r="R71" s="137">
        <f>SUM(R42)</f>
        <v>2000000</v>
      </c>
      <c r="S71" s="20"/>
      <c r="T71" s="19"/>
    </row>
    <row r="72" ht="15.75" customHeight="1">
      <c r="A72" s="1"/>
      <c r="B72" s="133"/>
      <c r="C72" s="60"/>
      <c r="D72" s="60"/>
      <c r="E72" s="60"/>
      <c r="F72" s="60"/>
      <c r="G72" s="60"/>
      <c r="H72" s="61"/>
      <c r="I72" s="134" t="s">
        <v>77</v>
      </c>
      <c r="J72" s="60"/>
      <c r="K72" s="61"/>
      <c r="L72" s="127" t="s">
        <v>74</v>
      </c>
      <c r="M72" s="135">
        <f t="shared" si="20"/>
        <v>312500</v>
      </c>
      <c r="N72" s="135">
        <f>N71/I21</f>
        <v>250000</v>
      </c>
      <c r="O72" s="138"/>
      <c r="P72" s="137">
        <f>P71/I21</f>
        <v>5537599.31</v>
      </c>
      <c r="Q72" s="137">
        <f t="shared" ref="Q72:R72" si="21">Q71</f>
        <v>77492.06349</v>
      </c>
      <c r="R72" s="137">
        <f t="shared" si="21"/>
        <v>2000000</v>
      </c>
      <c r="S72" s="20"/>
      <c r="T72" s="19"/>
    </row>
    <row r="73" ht="15.75" customHeight="1">
      <c r="A73" s="1"/>
      <c r="B73" s="18"/>
      <c r="C73" s="18"/>
      <c r="D73" s="18"/>
      <c r="E73" s="18"/>
      <c r="F73" s="18"/>
      <c r="G73" s="18"/>
      <c r="H73" s="18"/>
      <c r="I73" s="5"/>
      <c r="J73" s="18"/>
      <c r="K73" s="18"/>
      <c r="L73" s="18"/>
      <c r="M73" s="18"/>
      <c r="N73" s="18"/>
      <c r="O73" s="19"/>
      <c r="P73" s="20"/>
      <c r="Q73" s="20"/>
      <c r="R73" s="20"/>
      <c r="S73" s="20"/>
      <c r="T73" s="19"/>
    </row>
    <row r="74" ht="15.75" customHeight="1">
      <c r="A74" s="139"/>
      <c r="B74" s="140" t="s">
        <v>78</v>
      </c>
      <c r="C74" s="141"/>
      <c r="D74" s="141"/>
      <c r="E74" s="141"/>
      <c r="F74" s="142"/>
      <c r="G74" s="17"/>
      <c r="H74" s="17"/>
      <c r="I74" s="143"/>
      <c r="J74" s="18"/>
      <c r="K74" s="18"/>
      <c r="L74" s="18"/>
      <c r="M74" s="18"/>
      <c r="N74" s="18"/>
      <c r="O74" s="138"/>
      <c r="P74" s="20"/>
      <c r="Q74" s="20"/>
      <c r="R74" s="20"/>
      <c r="S74" s="20"/>
      <c r="T74" s="138"/>
    </row>
    <row r="75" ht="15.75" customHeight="1">
      <c r="A75" s="139"/>
      <c r="B75" s="144" t="s">
        <v>79</v>
      </c>
      <c r="C75" s="145" t="s">
        <v>80</v>
      </c>
      <c r="D75" s="145" t="s">
        <v>81</v>
      </c>
      <c r="E75" s="145" t="s">
        <v>82</v>
      </c>
      <c r="F75" s="144" t="s">
        <v>83</v>
      </c>
      <c r="G75" s="1"/>
      <c r="H75" s="1"/>
      <c r="I75" s="139"/>
      <c r="J75" s="18"/>
      <c r="K75" s="18"/>
      <c r="L75" s="18"/>
      <c r="M75" s="18"/>
      <c r="N75" s="18"/>
      <c r="O75" s="19"/>
      <c r="P75" s="20"/>
      <c r="Q75" s="20"/>
      <c r="R75" s="20"/>
      <c r="S75" s="20"/>
      <c r="T75" s="19"/>
    </row>
    <row r="76" ht="15.75" customHeight="1">
      <c r="A76" s="139"/>
      <c r="B76" s="146">
        <f>TODAY()+10</f>
        <v>46270</v>
      </c>
      <c r="C76" s="146">
        <f>B76+D76</f>
        <v>46390</v>
      </c>
      <c r="D76" s="147">
        <f>30*I21</f>
        <v>120</v>
      </c>
      <c r="E76" s="148">
        <f>N71/D76</f>
        <v>8333.333333</v>
      </c>
      <c r="F76" s="149">
        <f>P71/D76</f>
        <v>184586.6437</v>
      </c>
      <c r="G76" s="1"/>
      <c r="H76" s="1"/>
      <c r="I76" s="139"/>
      <c r="J76" s="18"/>
      <c r="K76" s="18"/>
      <c r="L76" s="18"/>
      <c r="M76" s="18"/>
      <c r="N76" s="18"/>
      <c r="O76" s="19"/>
      <c r="P76" s="20"/>
      <c r="Q76" s="20"/>
      <c r="R76" s="20"/>
      <c r="S76" s="20"/>
      <c r="T76" s="19"/>
    </row>
    <row r="77" ht="15.75" customHeight="1">
      <c r="A77" s="139"/>
      <c r="B77" s="144" t="s">
        <v>84</v>
      </c>
      <c r="C77" s="145" t="s">
        <v>85</v>
      </c>
      <c r="D77" s="145" t="s">
        <v>86</v>
      </c>
      <c r="E77" s="145" t="s">
        <v>87</v>
      </c>
      <c r="F77" s="144" t="s">
        <v>88</v>
      </c>
      <c r="G77" s="1"/>
      <c r="H77" s="5"/>
      <c r="I77" s="139"/>
      <c r="J77" s="18"/>
      <c r="K77" s="18"/>
      <c r="L77" s="18"/>
      <c r="M77" s="18"/>
      <c r="N77" s="18"/>
      <c r="O77" s="19"/>
      <c r="P77" s="20"/>
      <c r="Q77" s="20"/>
      <c r="R77" s="20"/>
      <c r="S77" s="20"/>
      <c r="T77" s="19"/>
    </row>
    <row r="78" ht="15.75" customHeight="1">
      <c r="A78" s="139"/>
      <c r="B78" s="150">
        <v>2.0</v>
      </c>
      <c r="C78" s="151">
        <v>6.0</v>
      </c>
      <c r="D78" s="152">
        <f>B78*C78</f>
        <v>12</v>
      </c>
      <c r="E78" s="148">
        <f>E76/D78</f>
        <v>694.4444444</v>
      </c>
      <c r="F78" s="149">
        <f>F76/D78</f>
        <v>15382.22031</v>
      </c>
      <c r="G78" s="139"/>
      <c r="H78" s="143"/>
      <c r="I78" s="139"/>
      <c r="J78" s="18"/>
      <c r="K78" s="18"/>
      <c r="L78" s="18"/>
      <c r="M78" s="18"/>
      <c r="N78" s="18"/>
      <c r="O78" s="19"/>
      <c r="P78" s="20"/>
      <c r="Q78" s="20"/>
      <c r="R78" s="20"/>
      <c r="S78" s="20"/>
      <c r="T78" s="19"/>
    </row>
    <row r="79" ht="15.75" customHeight="1">
      <c r="A79" s="139"/>
      <c r="B79" s="153" t="s">
        <v>89</v>
      </c>
      <c r="C79" s="142"/>
      <c r="D79" s="154" t="s">
        <v>90</v>
      </c>
      <c r="E79" s="154" t="s">
        <v>91</v>
      </c>
      <c r="F79" s="144" t="s">
        <v>92</v>
      </c>
      <c r="G79" s="139"/>
      <c r="H79" s="139"/>
      <c r="I79" s="139"/>
      <c r="J79" s="18"/>
      <c r="K79" s="18"/>
      <c r="L79" s="18"/>
      <c r="M79" s="18"/>
      <c r="N79" s="18"/>
      <c r="O79" s="19"/>
      <c r="P79" s="20"/>
      <c r="Q79" s="20"/>
      <c r="R79" s="20"/>
      <c r="S79" s="20"/>
      <c r="T79" s="19"/>
    </row>
    <row r="80" ht="15.75" customHeight="1">
      <c r="A80" s="6"/>
      <c r="B80" s="155">
        <v>1.0</v>
      </c>
      <c r="C80" s="142"/>
      <c r="D80" s="152">
        <f>B80</f>
        <v>1</v>
      </c>
      <c r="E80" s="148">
        <f>E78/D80</f>
        <v>694.4444444</v>
      </c>
      <c r="F80" s="149">
        <f>F78/D80</f>
        <v>15382.22031</v>
      </c>
      <c r="G80" s="139"/>
      <c r="H80" s="139"/>
      <c r="I80" s="139"/>
      <c r="J80" s="18"/>
      <c r="K80" s="18"/>
      <c r="L80" s="18"/>
      <c r="M80" s="18"/>
      <c r="N80" s="18"/>
      <c r="O80" s="19"/>
      <c r="P80" s="20"/>
      <c r="Q80" s="20"/>
      <c r="R80" s="20"/>
      <c r="S80" s="20"/>
      <c r="T80" s="19"/>
    </row>
    <row r="81" ht="15.75" customHeight="1">
      <c r="A81" s="6"/>
      <c r="B81" s="156"/>
      <c r="C81" s="157"/>
      <c r="D81" s="157"/>
      <c r="E81" s="157"/>
      <c r="F81" s="156"/>
      <c r="H81" s="139"/>
      <c r="I81" s="139"/>
      <c r="J81" s="18"/>
      <c r="K81" s="18"/>
      <c r="L81" s="18"/>
      <c r="M81" s="18"/>
      <c r="N81" s="18"/>
      <c r="O81" s="19"/>
      <c r="P81" s="20"/>
      <c r="Q81" s="20"/>
      <c r="R81" s="20"/>
      <c r="S81" s="20"/>
      <c r="T81" s="19"/>
    </row>
    <row r="82" ht="15.75" customHeight="1">
      <c r="A82" s="6"/>
      <c r="B82" s="158" t="s">
        <v>93</v>
      </c>
      <c r="D82" s="159" t="s">
        <v>111</v>
      </c>
      <c r="G82" s="139"/>
      <c r="H82" s="139"/>
      <c r="I82" s="139"/>
      <c r="J82" s="18"/>
      <c r="K82" s="18"/>
      <c r="L82" s="18"/>
      <c r="M82" s="18"/>
      <c r="N82" s="18"/>
      <c r="O82" s="19"/>
      <c r="P82" s="20"/>
      <c r="Q82" s="20"/>
      <c r="R82" s="20"/>
      <c r="S82" s="20"/>
      <c r="T82" s="19"/>
    </row>
    <row r="83" ht="15.75" customHeight="1">
      <c r="A83" s="6"/>
      <c r="B83" s="160" t="s">
        <v>95</v>
      </c>
      <c r="C83" s="161"/>
      <c r="D83" s="162" t="s">
        <v>96</v>
      </c>
      <c r="F83" s="163"/>
      <c r="H83" s="139"/>
      <c r="I83" s="139"/>
      <c r="J83" s="18"/>
      <c r="K83" s="18"/>
      <c r="L83" s="18"/>
      <c r="M83" s="18"/>
      <c r="N83" s="18"/>
      <c r="O83" s="19"/>
      <c r="P83" s="20"/>
      <c r="Q83" s="20"/>
      <c r="R83" s="20"/>
      <c r="S83" s="20"/>
      <c r="T83" s="19"/>
    </row>
    <row r="84" ht="15.75" customHeight="1">
      <c r="A84" s="6"/>
      <c r="B84" s="160" t="s">
        <v>97</v>
      </c>
      <c r="C84" s="161"/>
      <c r="D84" s="162">
        <v>18.0</v>
      </c>
      <c r="F84" s="163"/>
      <c r="G84" s="139"/>
      <c r="H84" s="139"/>
      <c r="I84" s="139"/>
      <c r="J84" s="18"/>
      <c r="K84" s="18"/>
      <c r="L84" s="18"/>
      <c r="M84" s="18"/>
      <c r="N84" s="18"/>
      <c r="O84" s="19"/>
      <c r="P84" s="20"/>
      <c r="Q84" s="20"/>
      <c r="R84" s="20"/>
      <c r="S84" s="20"/>
      <c r="T84" s="19"/>
    </row>
    <row r="85" ht="15.75" customHeight="1">
      <c r="A85" s="6"/>
      <c r="B85" s="160" t="s">
        <v>98</v>
      </c>
      <c r="C85" s="161"/>
      <c r="D85" s="162" t="s">
        <v>114</v>
      </c>
      <c r="F85" s="163"/>
      <c r="H85" s="139"/>
      <c r="I85" s="139"/>
      <c r="J85" s="18"/>
      <c r="K85" s="18"/>
      <c r="L85" s="18"/>
      <c r="M85" s="18"/>
      <c r="N85" s="18"/>
      <c r="O85" s="19"/>
      <c r="P85" s="20"/>
      <c r="Q85" s="20"/>
      <c r="R85" s="20"/>
      <c r="S85" s="20"/>
      <c r="T85" s="19"/>
    </row>
    <row r="86" ht="15.75" customHeight="1">
      <c r="A86" s="6"/>
      <c r="B86" s="160" t="s">
        <v>100</v>
      </c>
      <c r="C86" s="161"/>
      <c r="D86" s="162" t="s">
        <v>101</v>
      </c>
      <c r="F86" s="163"/>
      <c r="G86" s="139"/>
      <c r="H86" s="139"/>
      <c r="I86" s="139"/>
      <c r="J86" s="18"/>
      <c r="K86" s="18"/>
      <c r="L86" s="18"/>
      <c r="M86" s="18"/>
      <c r="N86" s="18"/>
      <c r="O86" s="19"/>
      <c r="P86" s="20"/>
      <c r="Q86" s="20"/>
      <c r="R86" s="20"/>
      <c r="S86" s="20"/>
      <c r="T86" s="19"/>
    </row>
    <row r="87" ht="15.75" customHeight="1">
      <c r="A87" s="6"/>
      <c r="B87" s="160" t="s">
        <v>102</v>
      </c>
      <c r="C87" s="161"/>
      <c r="D87" s="162" t="s">
        <v>103</v>
      </c>
      <c r="F87" s="163"/>
      <c r="H87" s="139"/>
      <c r="I87" s="139"/>
      <c r="J87" s="18"/>
      <c r="K87" s="18"/>
      <c r="L87" s="18"/>
      <c r="M87" s="18"/>
      <c r="N87" s="18"/>
      <c r="O87" s="19"/>
      <c r="P87" s="20"/>
      <c r="Q87" s="20"/>
      <c r="R87" s="20"/>
      <c r="S87" s="20"/>
      <c r="T87" s="19"/>
    </row>
    <row r="88" ht="15.75" customHeight="1">
      <c r="A88" s="6"/>
      <c r="B88" s="160" t="s">
        <v>104</v>
      </c>
      <c r="C88" s="161"/>
      <c r="D88" s="162" t="s">
        <v>105</v>
      </c>
      <c r="F88" s="163"/>
      <c r="G88" s="139"/>
      <c r="H88" s="139"/>
      <c r="I88" s="139"/>
      <c r="J88" s="18"/>
      <c r="K88" s="18"/>
      <c r="L88" s="18"/>
      <c r="M88" s="18"/>
      <c r="N88" s="18"/>
      <c r="O88" s="19"/>
      <c r="P88" s="20"/>
      <c r="Q88" s="20"/>
      <c r="R88" s="20"/>
      <c r="S88" s="20"/>
      <c r="T88" s="19"/>
    </row>
    <row r="89" ht="15.75" customHeight="1">
      <c r="A89" s="6"/>
      <c r="B89" s="164" t="s">
        <v>106</v>
      </c>
      <c r="C89" s="165"/>
      <c r="D89" s="166" t="s">
        <v>105</v>
      </c>
      <c r="E89" s="167"/>
      <c r="F89" s="168"/>
      <c r="H89" s="139"/>
      <c r="I89" s="139"/>
      <c r="J89" s="18"/>
      <c r="K89" s="18"/>
      <c r="L89" s="18"/>
      <c r="M89" s="18"/>
      <c r="N89" s="18"/>
      <c r="O89" s="19"/>
      <c r="P89" s="20"/>
      <c r="Q89" s="20"/>
      <c r="R89" s="20"/>
      <c r="S89" s="20"/>
      <c r="T89" s="19"/>
    </row>
    <row r="90" ht="15.75" customHeight="1">
      <c r="A90" s="6"/>
      <c r="B90" s="156"/>
      <c r="C90" s="157"/>
      <c r="D90" s="157"/>
      <c r="E90" s="157"/>
      <c r="F90" s="156"/>
      <c r="G90" s="139"/>
      <c r="H90" s="139"/>
      <c r="I90" s="139"/>
      <c r="J90" s="18"/>
      <c r="K90" s="18"/>
      <c r="L90" s="18"/>
      <c r="M90" s="18"/>
      <c r="N90" s="18"/>
      <c r="O90" s="19"/>
      <c r="P90" s="20"/>
      <c r="Q90" s="20"/>
      <c r="R90" s="20"/>
      <c r="S90" s="20"/>
      <c r="T90" s="19"/>
    </row>
    <row r="91" ht="15.75" customHeight="1">
      <c r="A91" s="6"/>
      <c r="B91" s="156"/>
      <c r="C91" s="157"/>
      <c r="D91" s="157"/>
      <c r="E91" s="157"/>
      <c r="F91" s="156"/>
      <c r="H91" s="139"/>
      <c r="I91" s="139"/>
      <c r="J91" s="18"/>
      <c r="K91" s="18"/>
      <c r="L91" s="18"/>
      <c r="M91" s="18"/>
      <c r="N91" s="18"/>
      <c r="O91" s="19"/>
      <c r="P91" s="20"/>
      <c r="Q91" s="20"/>
      <c r="R91" s="20"/>
      <c r="S91" s="20"/>
      <c r="T91" s="19"/>
    </row>
  </sheetData>
  <mergeCells count="90">
    <mergeCell ref="G21:G28"/>
    <mergeCell ref="H21:H26"/>
    <mergeCell ref="I21:I28"/>
    <mergeCell ref="K21:K28"/>
    <mergeCell ref="L21:L28"/>
    <mergeCell ref="M21:M28"/>
    <mergeCell ref="N21:N28"/>
    <mergeCell ref="O21:O28"/>
    <mergeCell ref="P21:P28"/>
    <mergeCell ref="Q21:Q28"/>
    <mergeCell ref="R21:R28"/>
    <mergeCell ref="S21:S28"/>
    <mergeCell ref="B4:C4"/>
    <mergeCell ref="B14:T14"/>
    <mergeCell ref="B17:C17"/>
    <mergeCell ref="B21:B28"/>
    <mergeCell ref="D21:D28"/>
    <mergeCell ref="E21:E28"/>
    <mergeCell ref="F21:F26"/>
    <mergeCell ref="F35:F41"/>
    <mergeCell ref="E36:E41"/>
    <mergeCell ref="B48:B52"/>
    <mergeCell ref="F48:F52"/>
    <mergeCell ref="G48:G52"/>
    <mergeCell ref="I48:I52"/>
    <mergeCell ref="K48:K52"/>
    <mergeCell ref="I53:K53"/>
    <mergeCell ref="H48:H52"/>
    <mergeCell ref="B53:H53"/>
    <mergeCell ref="B55:C55"/>
    <mergeCell ref="B60:H60"/>
    <mergeCell ref="I60:K60"/>
    <mergeCell ref="B62:C62"/>
    <mergeCell ref="B66:B67"/>
    <mergeCell ref="B71:H71"/>
    <mergeCell ref="I71:K71"/>
    <mergeCell ref="B72:H72"/>
    <mergeCell ref="I72:K72"/>
    <mergeCell ref="B74:F74"/>
    <mergeCell ref="B79:C79"/>
    <mergeCell ref="G80:G81"/>
    <mergeCell ref="G82:G83"/>
    <mergeCell ref="G84:G85"/>
    <mergeCell ref="G86:G87"/>
    <mergeCell ref="G88:G89"/>
    <mergeCell ref="G90:G91"/>
    <mergeCell ref="B80:C80"/>
    <mergeCell ref="B82:C82"/>
    <mergeCell ref="D82:F82"/>
    <mergeCell ref="B83:C83"/>
    <mergeCell ref="D83:F83"/>
    <mergeCell ref="B84:C84"/>
    <mergeCell ref="D84:F84"/>
    <mergeCell ref="B88:C88"/>
    <mergeCell ref="B89:C89"/>
    <mergeCell ref="B85:C85"/>
    <mergeCell ref="D85:F85"/>
    <mergeCell ref="B86:C86"/>
    <mergeCell ref="D86:F86"/>
    <mergeCell ref="B87:C87"/>
    <mergeCell ref="D87:F87"/>
    <mergeCell ref="D88:F88"/>
    <mergeCell ref="D89:F89"/>
    <mergeCell ref="P36:P41"/>
    <mergeCell ref="Q36:Q41"/>
    <mergeCell ref="H35:H41"/>
    <mergeCell ref="I35:I41"/>
    <mergeCell ref="S35:S41"/>
    <mergeCell ref="L36:L41"/>
    <mergeCell ref="M36:M41"/>
    <mergeCell ref="N36:N41"/>
    <mergeCell ref="O36:O41"/>
    <mergeCell ref="R36:R41"/>
    <mergeCell ref="B42:H42"/>
    <mergeCell ref="I42:K42"/>
    <mergeCell ref="B44:C44"/>
    <mergeCell ref="B29:H29"/>
    <mergeCell ref="I29:K29"/>
    <mergeCell ref="B31:C31"/>
    <mergeCell ref="B35:B41"/>
    <mergeCell ref="D35:D41"/>
    <mergeCell ref="G35:G41"/>
    <mergeCell ref="K35:K41"/>
    <mergeCell ref="D66:D67"/>
    <mergeCell ref="F66:F67"/>
    <mergeCell ref="G66:G67"/>
    <mergeCell ref="H66:H67"/>
    <mergeCell ref="S66:S67"/>
    <mergeCell ref="B68:H68"/>
    <mergeCell ref="I68:K6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2.63"/>
    <col customWidth="1" min="3" max="3" width="47.5"/>
    <col customWidth="1" min="4" max="4" width="19.75"/>
    <col customWidth="1" min="5" max="5" width="33.0"/>
    <col customWidth="1" min="6" max="6" width="33.63"/>
    <col customWidth="1" min="7" max="7" width="32.5"/>
    <col customWidth="1" min="8" max="8" width="31.25"/>
    <col customWidth="1" min="9" max="9" width="15.5"/>
    <col customWidth="1" min="10" max="10" width="1.75"/>
    <col customWidth="1" min="11" max="12" width="13.25"/>
    <col customWidth="1" min="13" max="14" width="23.5"/>
    <col customWidth="1" min="15" max="15" width="1.75"/>
    <col customWidth="1" min="16" max="19" width="21.5"/>
    <col customWidth="1" min="20" max="20" width="4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1"/>
      <c r="S1" s="1"/>
      <c r="T1" s="2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3"/>
      <c r="Q2" s="3"/>
      <c r="R2" s="1"/>
      <c r="S2" s="1"/>
      <c r="T2" s="2"/>
    </row>
    <row r="3" ht="15.75" customHeight="1">
      <c r="A3" s="1"/>
      <c r="B3" s="1"/>
      <c r="C3" s="1"/>
      <c r="D3" s="1"/>
      <c r="E3" s="4"/>
      <c r="F3" s="1"/>
      <c r="G3" s="5"/>
      <c r="H3" s="1"/>
      <c r="I3" s="1"/>
      <c r="J3" s="1"/>
      <c r="K3" s="1"/>
      <c r="L3" s="1"/>
      <c r="M3" s="1"/>
      <c r="N3" s="1"/>
      <c r="O3" s="2"/>
      <c r="P3" s="3"/>
      <c r="Q3" s="3"/>
      <c r="R3" s="1"/>
      <c r="S3" s="1"/>
      <c r="T3" s="2"/>
    </row>
    <row r="4" ht="15.75" customHeight="1">
      <c r="A4" s="1"/>
      <c r="B4" s="6"/>
      <c r="D4" s="7"/>
      <c r="E4" s="4"/>
      <c r="F4" s="1"/>
      <c r="G4" s="5"/>
      <c r="H4" s="1"/>
      <c r="I4" s="1"/>
      <c r="J4" s="1"/>
      <c r="K4" s="1"/>
      <c r="L4" s="1"/>
      <c r="M4" s="1"/>
      <c r="N4" s="1"/>
      <c r="O4" s="2"/>
      <c r="P4" s="3"/>
      <c r="Q4" s="3"/>
      <c r="R4" s="1"/>
      <c r="S4" s="1"/>
      <c r="T4" s="2"/>
    </row>
    <row r="5" ht="15.75" customHeight="1">
      <c r="A5" s="1"/>
      <c r="B5" s="1"/>
      <c r="C5" s="1"/>
      <c r="D5" s="1"/>
      <c r="E5" s="4"/>
      <c r="F5" s="1"/>
      <c r="G5" s="5"/>
      <c r="H5" s="5"/>
      <c r="I5" s="1"/>
      <c r="J5" s="1"/>
      <c r="K5" s="1"/>
      <c r="L5" s="1"/>
      <c r="M5" s="1"/>
      <c r="N5" s="1"/>
      <c r="O5" s="2"/>
      <c r="P5" s="3"/>
      <c r="Q5" s="3"/>
      <c r="R5" s="1"/>
      <c r="S5" s="1"/>
      <c r="T5" s="2"/>
    </row>
    <row r="6" ht="15.75" customHeight="1">
      <c r="A6" s="1"/>
      <c r="B6" s="8" t="s">
        <v>0</v>
      </c>
      <c r="C6" s="9" t="s">
        <v>1</v>
      </c>
      <c r="D6" s="1"/>
      <c r="E6" s="4"/>
      <c r="F6" s="1"/>
      <c r="G6" s="5"/>
      <c r="H6" s="1"/>
      <c r="I6" s="1"/>
      <c r="J6" s="1"/>
      <c r="K6" s="1"/>
      <c r="L6" s="1"/>
      <c r="M6" s="1"/>
      <c r="N6" s="1"/>
      <c r="O6" s="2"/>
      <c r="P6" s="3"/>
      <c r="Q6" s="3"/>
      <c r="R6" s="1"/>
      <c r="S6" s="1"/>
      <c r="T6" s="2"/>
    </row>
    <row r="7" ht="15.75" customHeight="1">
      <c r="A7" s="1"/>
      <c r="B7" s="8" t="s">
        <v>2</v>
      </c>
      <c r="C7" s="10" t="s">
        <v>3</v>
      </c>
      <c r="D7" s="1"/>
      <c r="E7" s="4"/>
      <c r="F7" s="1"/>
      <c r="G7" s="5"/>
      <c r="H7" s="1"/>
      <c r="I7" s="1"/>
      <c r="J7" s="1"/>
      <c r="K7" s="1"/>
      <c r="L7" s="1"/>
      <c r="M7" s="1"/>
      <c r="N7" s="1"/>
      <c r="O7" s="2"/>
      <c r="P7" s="3"/>
      <c r="Q7" s="3"/>
      <c r="R7" s="1"/>
      <c r="S7" s="1"/>
      <c r="T7" s="2"/>
    </row>
    <row r="8" ht="15.75" customHeight="1">
      <c r="A8" s="1"/>
      <c r="B8" s="8" t="s">
        <v>4</v>
      </c>
      <c r="C8" s="11" t="s">
        <v>5</v>
      </c>
      <c r="D8" s="1"/>
      <c r="E8" s="4"/>
      <c r="F8" s="1"/>
      <c r="G8" s="5"/>
      <c r="H8" s="1"/>
      <c r="I8" s="1"/>
      <c r="J8" s="1"/>
      <c r="K8" s="1"/>
      <c r="L8" s="1"/>
      <c r="M8" s="1"/>
      <c r="N8" s="1"/>
      <c r="O8" s="2"/>
      <c r="P8" s="3"/>
      <c r="Q8" s="3"/>
      <c r="R8" s="1"/>
      <c r="S8" s="1"/>
      <c r="T8" s="2"/>
    </row>
    <row r="9">
      <c r="A9" s="1"/>
      <c r="B9" s="8" t="s">
        <v>6</v>
      </c>
      <c r="C9" s="12">
        <f>N71</f>
        <v>700000</v>
      </c>
      <c r="D9" s="1"/>
      <c r="E9" s="4"/>
      <c r="F9" s="1"/>
      <c r="G9" s="1"/>
      <c r="H9" s="1"/>
      <c r="I9" s="1"/>
      <c r="J9" s="1"/>
      <c r="K9" s="1"/>
      <c r="L9" s="1"/>
      <c r="M9" s="1"/>
      <c r="N9" s="1"/>
      <c r="O9" s="3"/>
      <c r="P9" s="3"/>
      <c r="Q9" s="3"/>
      <c r="R9" s="1"/>
      <c r="S9" s="1"/>
      <c r="T9" s="3"/>
    </row>
    <row r="10">
      <c r="A10" s="1"/>
      <c r="B10" s="13" t="s">
        <v>8</v>
      </c>
      <c r="C10" s="14">
        <f>C9/80%</f>
        <v>875000</v>
      </c>
      <c r="D10" s="1"/>
      <c r="E10" s="4"/>
      <c r="F10" s="1"/>
      <c r="G10" s="1"/>
      <c r="H10" s="1"/>
      <c r="I10" s="1"/>
      <c r="J10" s="1"/>
      <c r="K10" s="1"/>
      <c r="L10" s="1"/>
      <c r="M10" s="1"/>
      <c r="N10" s="1"/>
      <c r="O10" s="3"/>
      <c r="P10" s="3"/>
      <c r="Q10" s="3"/>
      <c r="R10" s="1"/>
      <c r="S10" s="1"/>
      <c r="T10" s="3"/>
    </row>
    <row r="11">
      <c r="A11" s="1"/>
      <c r="B11" s="8" t="s">
        <v>11</v>
      </c>
      <c r="C11" s="12">
        <f>N72</f>
        <v>175000</v>
      </c>
      <c r="D11" s="1"/>
      <c r="E11" s="4"/>
      <c r="F11" s="1"/>
      <c r="G11" s="1"/>
      <c r="H11" s="1"/>
      <c r="I11" s="1"/>
      <c r="J11" s="1"/>
      <c r="K11" s="1"/>
      <c r="L11" s="1"/>
      <c r="M11" s="1"/>
      <c r="N11" s="1"/>
      <c r="O11" s="3"/>
      <c r="P11" s="3"/>
      <c r="Q11" s="3"/>
      <c r="R11" s="1"/>
      <c r="S11" s="1"/>
      <c r="T11" s="3"/>
    </row>
    <row r="12">
      <c r="A12" s="1"/>
      <c r="B12" s="13" t="s">
        <v>12</v>
      </c>
      <c r="C12" s="14">
        <f>C11/80%</f>
        <v>218750</v>
      </c>
      <c r="D12" s="1"/>
      <c r="E12" s="4"/>
      <c r="F12" s="1"/>
      <c r="G12" s="1"/>
      <c r="H12" s="1"/>
      <c r="I12" s="1"/>
      <c r="J12" s="1"/>
      <c r="K12" s="1"/>
      <c r="L12" s="1"/>
      <c r="M12" s="1"/>
      <c r="N12" s="1"/>
      <c r="O12" s="3"/>
      <c r="P12" s="3"/>
      <c r="Q12" s="3"/>
      <c r="R12" s="1"/>
      <c r="S12" s="1"/>
      <c r="T12" s="3"/>
    </row>
    <row r="13" ht="15.75" customHeight="1">
      <c r="A13" s="1"/>
      <c r="B13" s="1"/>
      <c r="C13" s="1"/>
      <c r="D13" s="1"/>
      <c r="E13" s="4"/>
      <c r="F13" s="1"/>
      <c r="G13" s="1"/>
      <c r="H13" s="1"/>
      <c r="I13" s="1"/>
      <c r="J13" s="1"/>
      <c r="K13" s="1"/>
      <c r="L13" s="1"/>
      <c r="M13" s="1"/>
      <c r="N13" s="1"/>
      <c r="O13" s="2"/>
      <c r="P13" s="3"/>
      <c r="Q13" s="3"/>
      <c r="R13" s="1"/>
      <c r="S13" s="1"/>
      <c r="T13" s="2"/>
    </row>
    <row r="14" ht="15.75" customHeight="1">
      <c r="A14" s="1"/>
      <c r="B14" s="15" t="s">
        <v>10</v>
      </c>
    </row>
    <row r="15" ht="15.75" customHeight="1">
      <c r="A15" s="1"/>
      <c r="B15" s="1"/>
      <c r="C15" s="1"/>
      <c r="D15" s="1"/>
      <c r="E15" s="4"/>
      <c r="F15" s="1"/>
      <c r="G15" s="1"/>
      <c r="H15" s="1"/>
      <c r="I15" s="1"/>
      <c r="J15" s="1"/>
      <c r="K15" s="1"/>
      <c r="L15" s="1"/>
      <c r="M15" s="1"/>
      <c r="N15" s="1"/>
      <c r="O15" s="2"/>
      <c r="P15" s="3"/>
      <c r="Q15" s="3"/>
      <c r="R15" s="1"/>
      <c r="S15" s="1"/>
      <c r="T15" s="2"/>
    </row>
    <row r="16" ht="15.75" customHeight="1">
      <c r="A16" s="1"/>
      <c r="B16" s="16"/>
      <c r="C16" s="16"/>
      <c r="D16" s="17"/>
      <c r="E16" s="7"/>
      <c r="F16" s="1"/>
      <c r="G16" s="1"/>
      <c r="H16" s="17"/>
      <c r="I16" s="17"/>
      <c r="J16" s="18"/>
      <c r="K16" s="18"/>
      <c r="L16" s="18"/>
      <c r="M16" s="18"/>
      <c r="N16" s="18"/>
      <c r="O16" s="19"/>
      <c r="P16" s="20"/>
      <c r="Q16" s="20"/>
      <c r="R16" s="17"/>
      <c r="S16" s="17"/>
      <c r="T16" s="19"/>
    </row>
    <row r="17" ht="15.75" customHeight="1">
      <c r="A17" s="1"/>
      <c r="B17" s="21" t="s">
        <v>13</v>
      </c>
      <c r="D17" s="17"/>
      <c r="E17" s="7"/>
      <c r="F17" s="1"/>
      <c r="G17" s="1"/>
      <c r="H17" s="17"/>
      <c r="I17" s="17"/>
      <c r="J17" s="18"/>
      <c r="K17" s="18"/>
      <c r="L17" s="18"/>
      <c r="M17" s="18"/>
      <c r="N17" s="18"/>
      <c r="O17" s="19"/>
      <c r="P17" s="20"/>
      <c r="Q17" s="20"/>
      <c r="R17" s="17"/>
      <c r="S17" s="17"/>
      <c r="T17" s="19"/>
    </row>
    <row r="18" ht="7.5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22"/>
      <c r="P18" s="3"/>
      <c r="Q18" s="3"/>
      <c r="R18" s="1"/>
      <c r="S18" s="1"/>
      <c r="T18" s="22"/>
    </row>
    <row r="19" ht="15.75" customHeight="1">
      <c r="A19" s="1"/>
      <c r="B19" s="23" t="s">
        <v>14</v>
      </c>
      <c r="C19" s="23" t="s">
        <v>15</v>
      </c>
      <c r="D19" s="23" t="s">
        <v>16</v>
      </c>
      <c r="E19" s="23" t="s">
        <v>17</v>
      </c>
      <c r="F19" s="23" t="s">
        <v>18</v>
      </c>
      <c r="G19" s="23" t="s">
        <v>19</v>
      </c>
      <c r="H19" s="23" t="s">
        <v>20</v>
      </c>
      <c r="I19" s="24" t="s">
        <v>21</v>
      </c>
      <c r="J19" s="18"/>
      <c r="K19" s="23" t="s">
        <v>22</v>
      </c>
      <c r="L19" s="25" t="s">
        <v>23</v>
      </c>
      <c r="M19" s="26" t="s">
        <v>24</v>
      </c>
      <c r="N19" s="26" t="s">
        <v>25</v>
      </c>
      <c r="O19" s="27"/>
      <c r="P19" s="28" t="s">
        <v>26</v>
      </c>
      <c r="Q19" s="29" t="s">
        <v>27</v>
      </c>
      <c r="R19" s="23" t="s">
        <v>28</v>
      </c>
      <c r="S19" s="23" t="s">
        <v>29</v>
      </c>
      <c r="T19" s="27"/>
    </row>
    <row r="20" ht="7.5" customHeight="1">
      <c r="A20" s="1"/>
      <c r="B20" s="6"/>
      <c r="C20" s="6"/>
      <c r="D20" s="6"/>
      <c r="E20" s="6"/>
      <c r="F20" s="6"/>
      <c r="G20" s="6"/>
      <c r="H20" s="6"/>
      <c r="I20" s="6"/>
      <c r="J20" s="6"/>
      <c r="K20" s="6"/>
      <c r="L20" s="22"/>
      <c r="M20" s="22"/>
      <c r="N20" s="22"/>
      <c r="O20" s="22"/>
      <c r="P20" s="6"/>
      <c r="Q20" s="30"/>
      <c r="R20" s="1"/>
      <c r="S20" s="1"/>
      <c r="T20" s="22"/>
    </row>
    <row r="21" ht="28.5" customHeight="1">
      <c r="A21" s="1"/>
      <c r="B21" s="31" t="s">
        <v>30</v>
      </c>
      <c r="C21" s="32" t="s">
        <v>31</v>
      </c>
      <c r="D21" s="33" t="s">
        <v>32</v>
      </c>
      <c r="E21" s="34" t="s">
        <v>33</v>
      </c>
      <c r="F21" s="34" t="s">
        <v>34</v>
      </c>
      <c r="G21" s="34" t="s">
        <v>35</v>
      </c>
      <c r="H21" s="34" t="s">
        <v>36</v>
      </c>
      <c r="I21" s="34">
        <v>4.0</v>
      </c>
      <c r="J21" s="35"/>
      <c r="K21" s="36" t="s">
        <v>37</v>
      </c>
      <c r="L21" s="37">
        <v>10.8</v>
      </c>
      <c r="M21" s="38">
        <f>N21/80%</f>
        <v>125000</v>
      </c>
      <c r="N21" s="38">
        <v>100000.0</v>
      </c>
      <c r="O21" s="39"/>
      <c r="P21" s="40">
        <f>N21/L21*1000</f>
        <v>9259259.259</v>
      </c>
      <c r="Q21" s="41">
        <v>0.003</v>
      </c>
      <c r="R21" s="42">
        <f>P21*Q21</f>
        <v>27777.77778</v>
      </c>
      <c r="S21" s="43">
        <v>0.7</v>
      </c>
      <c r="T21" s="39"/>
    </row>
    <row r="22" ht="28.5" customHeight="1">
      <c r="A22" s="1"/>
      <c r="B22" s="44"/>
      <c r="C22" s="45" t="s">
        <v>38</v>
      </c>
      <c r="D22" s="44"/>
      <c r="E22" s="44"/>
      <c r="F22" s="44"/>
      <c r="G22" s="44"/>
      <c r="H22" s="44"/>
      <c r="I22" s="44"/>
      <c r="J22" s="35"/>
      <c r="K22" s="46"/>
      <c r="L22" s="47"/>
      <c r="M22" s="48"/>
      <c r="N22" s="48"/>
      <c r="P22" s="44"/>
      <c r="R22" s="48"/>
      <c r="S22" s="49"/>
      <c r="T22" s="39"/>
    </row>
    <row r="23" ht="28.5" customHeight="1">
      <c r="A23" s="1"/>
      <c r="B23" s="44"/>
      <c r="C23" s="45" t="s">
        <v>39</v>
      </c>
      <c r="D23" s="44"/>
      <c r="E23" s="44"/>
      <c r="F23" s="44"/>
      <c r="G23" s="44"/>
      <c r="H23" s="44"/>
      <c r="I23" s="44"/>
      <c r="J23" s="35"/>
      <c r="K23" s="46"/>
      <c r="L23" s="47"/>
      <c r="M23" s="48"/>
      <c r="N23" s="48"/>
      <c r="P23" s="44"/>
      <c r="R23" s="48"/>
      <c r="S23" s="49"/>
      <c r="T23" s="39"/>
    </row>
    <row r="24" ht="28.5" customHeight="1">
      <c r="A24" s="1"/>
      <c r="B24" s="44"/>
      <c r="C24" s="45" t="s">
        <v>40</v>
      </c>
      <c r="D24" s="44"/>
      <c r="E24" s="44"/>
      <c r="F24" s="44"/>
      <c r="G24" s="44"/>
      <c r="H24" s="44"/>
      <c r="I24" s="44"/>
      <c r="J24" s="35"/>
      <c r="K24" s="46"/>
      <c r="L24" s="47"/>
      <c r="M24" s="48"/>
      <c r="N24" s="48"/>
      <c r="P24" s="44"/>
      <c r="R24" s="48"/>
      <c r="S24" s="49"/>
      <c r="T24" s="39"/>
    </row>
    <row r="25" ht="28.5" customHeight="1">
      <c r="A25" s="1"/>
      <c r="B25" s="44"/>
      <c r="C25" s="45" t="s">
        <v>41</v>
      </c>
      <c r="D25" s="44"/>
      <c r="E25" s="44"/>
      <c r="F25" s="44"/>
      <c r="G25" s="44"/>
      <c r="H25" s="44"/>
      <c r="I25" s="44"/>
      <c r="J25" s="35"/>
      <c r="K25" s="46"/>
      <c r="L25" s="47"/>
      <c r="M25" s="48"/>
      <c r="N25" s="48"/>
      <c r="P25" s="44"/>
      <c r="R25" s="48"/>
      <c r="S25" s="49"/>
      <c r="T25" s="39"/>
    </row>
    <row r="26" ht="28.5" customHeight="1">
      <c r="A26" s="1"/>
      <c r="B26" s="44"/>
      <c r="C26" s="45" t="s">
        <v>42</v>
      </c>
      <c r="D26" s="44"/>
      <c r="E26" s="44"/>
      <c r="F26" s="44"/>
      <c r="G26" s="44"/>
      <c r="H26" s="44"/>
      <c r="I26" s="44"/>
      <c r="J26" s="35"/>
      <c r="K26" s="46"/>
      <c r="L26" s="47"/>
      <c r="M26" s="48"/>
      <c r="N26" s="48"/>
      <c r="P26" s="44"/>
      <c r="R26" s="48"/>
      <c r="S26" s="49"/>
      <c r="T26" s="39"/>
    </row>
    <row r="27" ht="32.25" customHeight="1">
      <c r="A27" s="1"/>
      <c r="B27" s="44"/>
      <c r="C27" s="45" t="s">
        <v>43</v>
      </c>
      <c r="D27" s="44"/>
      <c r="E27" s="44"/>
      <c r="F27" s="34" t="s">
        <v>44</v>
      </c>
      <c r="G27" s="44"/>
      <c r="H27" s="34" t="s">
        <v>45</v>
      </c>
      <c r="I27" s="44"/>
      <c r="J27" s="35"/>
      <c r="K27" s="46"/>
      <c r="L27" s="47"/>
      <c r="M27" s="48"/>
      <c r="N27" s="48"/>
      <c r="P27" s="44"/>
      <c r="R27" s="48"/>
      <c r="S27" s="49"/>
      <c r="T27" s="39"/>
    </row>
    <row r="28" ht="32.25" customHeight="1">
      <c r="A28" s="50"/>
      <c r="B28" s="51"/>
      <c r="C28" s="52" t="s">
        <v>46</v>
      </c>
      <c r="D28" s="51"/>
      <c r="E28" s="51"/>
      <c r="F28" s="53" t="s">
        <v>47</v>
      </c>
      <c r="G28" s="51"/>
      <c r="H28" s="53" t="s">
        <v>45</v>
      </c>
      <c r="I28" s="51"/>
      <c r="J28" s="54"/>
      <c r="K28" s="55"/>
      <c r="L28" s="56"/>
      <c r="M28" s="48"/>
      <c r="N28" s="48"/>
      <c r="P28" s="44"/>
      <c r="R28" s="48"/>
      <c r="S28" s="49"/>
      <c r="T28" s="57"/>
    </row>
    <row r="29" ht="15.75" customHeight="1">
      <c r="A29" s="58"/>
      <c r="B29" s="59"/>
      <c r="C29" s="60"/>
      <c r="D29" s="60"/>
      <c r="E29" s="60"/>
      <c r="F29" s="60"/>
      <c r="G29" s="60"/>
      <c r="H29" s="61"/>
      <c r="I29" s="24"/>
      <c r="J29" s="60"/>
      <c r="K29" s="61"/>
      <c r="L29" s="25">
        <f>N29/P29*1000</f>
        <v>10.8</v>
      </c>
      <c r="M29" s="25">
        <f t="shared" ref="M29:N29" si="1">SUM(M21:M28)</f>
        <v>125000</v>
      </c>
      <c r="N29" s="25">
        <f t="shared" si="1"/>
        <v>100000</v>
      </c>
      <c r="O29" s="62"/>
      <c r="P29" s="63">
        <f>SUM(P21:P28)</f>
        <v>9259259.259</v>
      </c>
      <c r="Q29" s="64">
        <f>MEDIAN(Q21:Q28)</f>
        <v>0.003</v>
      </c>
      <c r="R29" s="63">
        <f t="shared" ref="R29:S29" si="2">SUM(R21:R28)</f>
        <v>27777.77778</v>
      </c>
      <c r="S29" s="65">
        <f t="shared" si="2"/>
        <v>0.7</v>
      </c>
      <c r="T29" s="62"/>
    </row>
    <row r="30" ht="15.75" customHeight="1">
      <c r="A30" s="1"/>
      <c r="B30" s="66"/>
      <c r="C30" s="66"/>
      <c r="D30" s="18"/>
      <c r="E30" s="7"/>
      <c r="F30" s="1"/>
      <c r="G30" s="1"/>
      <c r="H30" s="18"/>
      <c r="I30" s="18"/>
      <c r="J30" s="18"/>
      <c r="K30" s="18"/>
      <c r="L30" s="18"/>
      <c r="M30" s="18"/>
      <c r="N30" s="18"/>
      <c r="O30" s="19"/>
      <c r="P30" s="67"/>
      <c r="Q30" s="67"/>
      <c r="R30" s="18"/>
      <c r="S30" s="18"/>
      <c r="T30" s="19"/>
    </row>
    <row r="31" ht="15.75" customHeight="1">
      <c r="A31" s="1"/>
      <c r="B31" s="68" t="s">
        <v>48</v>
      </c>
      <c r="D31" s="17"/>
      <c r="E31" s="7"/>
      <c r="F31" s="1"/>
      <c r="G31" s="1"/>
      <c r="H31" s="17"/>
      <c r="I31" s="17"/>
      <c r="J31" s="18"/>
      <c r="K31" s="18"/>
      <c r="L31" s="18"/>
      <c r="M31" s="18"/>
      <c r="N31" s="18"/>
      <c r="O31" s="19"/>
      <c r="P31" s="20"/>
      <c r="Q31" s="20"/>
      <c r="R31" s="17"/>
      <c r="S31" s="17"/>
      <c r="T31" s="19"/>
    </row>
    <row r="32" ht="7.5" customHeight="1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22"/>
      <c r="P32" s="3"/>
      <c r="Q32" s="3"/>
      <c r="R32" s="1"/>
      <c r="S32" s="1"/>
      <c r="T32" s="22"/>
    </row>
    <row r="33" ht="15.75" customHeight="1">
      <c r="A33" s="1"/>
      <c r="B33" s="23" t="s">
        <v>14</v>
      </c>
      <c r="C33" s="23" t="s">
        <v>15</v>
      </c>
      <c r="D33" s="23" t="s">
        <v>16</v>
      </c>
      <c r="E33" s="23" t="s">
        <v>17</v>
      </c>
      <c r="F33" s="23" t="s">
        <v>18</v>
      </c>
      <c r="G33" s="23" t="s">
        <v>19</v>
      </c>
      <c r="H33" s="23" t="s">
        <v>20</v>
      </c>
      <c r="I33" s="24" t="s">
        <v>21</v>
      </c>
      <c r="J33" s="18"/>
      <c r="K33" s="23" t="s">
        <v>22</v>
      </c>
      <c r="L33" s="25" t="s">
        <v>23</v>
      </c>
      <c r="M33" s="26" t="s">
        <v>24</v>
      </c>
      <c r="N33" s="26" t="s">
        <v>25</v>
      </c>
      <c r="O33" s="27"/>
      <c r="P33" s="69" t="s">
        <v>26</v>
      </c>
      <c r="Q33" s="8" t="s">
        <v>49</v>
      </c>
      <c r="R33" s="8" t="s">
        <v>50</v>
      </c>
      <c r="S33" s="23" t="s">
        <v>29</v>
      </c>
      <c r="T33" s="27"/>
    </row>
    <row r="34" ht="7.5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22"/>
      <c r="M34" s="22"/>
      <c r="N34" s="22"/>
      <c r="O34" s="22"/>
      <c r="P34" s="6"/>
      <c r="Q34" s="30"/>
      <c r="R34" s="30"/>
      <c r="S34" s="1"/>
      <c r="T34" s="22"/>
    </row>
    <row r="35" ht="27.75" customHeight="1">
      <c r="A35" s="50"/>
      <c r="B35" s="71" t="s">
        <v>30</v>
      </c>
      <c r="C35" s="70" t="s">
        <v>51</v>
      </c>
      <c r="D35" s="73" t="s">
        <v>32</v>
      </c>
      <c r="E35" s="53" t="s">
        <v>52</v>
      </c>
      <c r="F35" s="53" t="str">
        <f t="shared" ref="F35:I35" si="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35" s="53" t="str">
        <f t="shared" si="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35" s="53" t="str">
        <f t="shared" si="3"/>
        <v>Brasil</v>
      </c>
      <c r="I35" s="53">
        <f t="shared" si="3"/>
        <v>4</v>
      </c>
      <c r="J35" s="54"/>
      <c r="K35" s="78" t="s">
        <v>37</v>
      </c>
      <c r="L35" s="77">
        <v>40.0</v>
      </c>
      <c r="M35" s="80">
        <f t="shared" ref="M35:M36" si="4">N35/80%</f>
        <v>0</v>
      </c>
      <c r="N35" s="80">
        <v>0.0</v>
      </c>
      <c r="O35" s="57"/>
      <c r="P35" s="81">
        <f t="shared" ref="P35:P36" si="5">N35/L35*1000</f>
        <v>0</v>
      </c>
      <c r="Q35" s="82">
        <v>0.9</v>
      </c>
      <c r="R35" s="81">
        <f t="shared" ref="R35:R36" si="6">P35*Q35</f>
        <v>0</v>
      </c>
      <c r="S35" s="83">
        <v>0.7</v>
      </c>
      <c r="T35" s="57"/>
    </row>
    <row r="36" ht="27.75" customHeight="1">
      <c r="A36" s="50"/>
      <c r="B36" s="44"/>
      <c r="C36" s="70" t="s">
        <v>31</v>
      </c>
      <c r="D36" s="44"/>
      <c r="E36" s="53" t="s">
        <v>53</v>
      </c>
      <c r="F36" s="44"/>
      <c r="G36" s="44"/>
      <c r="H36" s="44"/>
      <c r="I36" s="44"/>
      <c r="J36" s="54"/>
      <c r="K36" s="46"/>
      <c r="L36" s="77">
        <v>24.0</v>
      </c>
      <c r="M36" s="80">
        <f t="shared" si="4"/>
        <v>0</v>
      </c>
      <c r="N36" s="80">
        <v>0.0</v>
      </c>
      <c r="O36" s="57"/>
      <c r="P36" s="81">
        <f t="shared" si="5"/>
        <v>0</v>
      </c>
      <c r="Q36" s="83">
        <v>0.4</v>
      </c>
      <c r="R36" s="81">
        <f t="shared" si="6"/>
        <v>0</v>
      </c>
      <c r="S36" s="48"/>
      <c r="T36" s="57"/>
    </row>
    <row r="37" ht="27.75" customHeight="1">
      <c r="A37" s="50"/>
      <c r="B37" s="44"/>
      <c r="C37" s="52" t="s">
        <v>38</v>
      </c>
      <c r="D37" s="44"/>
      <c r="E37" s="44"/>
      <c r="F37" s="44"/>
      <c r="G37" s="44"/>
      <c r="H37" s="44"/>
      <c r="I37" s="44"/>
      <c r="J37" s="54"/>
      <c r="K37" s="46"/>
      <c r="L37" s="47"/>
      <c r="M37" s="84"/>
      <c r="N37" s="84"/>
      <c r="P37" s="46"/>
      <c r="Q37" s="48"/>
      <c r="R37" s="46"/>
      <c r="S37" s="48"/>
      <c r="T37" s="57"/>
    </row>
    <row r="38" ht="27.75" customHeight="1">
      <c r="A38" s="50"/>
      <c r="B38" s="44"/>
      <c r="C38" s="52" t="s">
        <v>39</v>
      </c>
      <c r="D38" s="44"/>
      <c r="E38" s="44"/>
      <c r="F38" s="44"/>
      <c r="G38" s="44"/>
      <c r="H38" s="44"/>
      <c r="I38" s="44"/>
      <c r="J38" s="54"/>
      <c r="K38" s="46"/>
      <c r="L38" s="47"/>
      <c r="M38" s="84"/>
      <c r="N38" s="84"/>
      <c r="P38" s="46"/>
      <c r="Q38" s="48"/>
      <c r="R38" s="46"/>
      <c r="S38" s="48"/>
      <c r="T38" s="57"/>
    </row>
    <row r="39" ht="27.75" customHeight="1">
      <c r="A39" s="50"/>
      <c r="B39" s="44"/>
      <c r="C39" s="52" t="s">
        <v>40</v>
      </c>
      <c r="D39" s="44"/>
      <c r="E39" s="44"/>
      <c r="F39" s="44"/>
      <c r="G39" s="44"/>
      <c r="H39" s="44"/>
      <c r="I39" s="44"/>
      <c r="J39" s="54"/>
      <c r="K39" s="46"/>
      <c r="L39" s="47"/>
      <c r="M39" s="84"/>
      <c r="N39" s="84"/>
      <c r="P39" s="46"/>
      <c r="Q39" s="48"/>
      <c r="R39" s="46"/>
      <c r="S39" s="48"/>
      <c r="T39" s="57"/>
    </row>
    <row r="40" ht="27.75" customHeight="1">
      <c r="A40" s="50"/>
      <c r="B40" s="44"/>
      <c r="C40" s="52" t="s">
        <v>41</v>
      </c>
      <c r="D40" s="44"/>
      <c r="E40" s="44"/>
      <c r="F40" s="44"/>
      <c r="G40" s="44"/>
      <c r="H40" s="44"/>
      <c r="I40" s="44"/>
      <c r="J40" s="54"/>
      <c r="K40" s="46"/>
      <c r="L40" s="47"/>
      <c r="M40" s="84"/>
      <c r="N40" s="84"/>
      <c r="P40" s="46"/>
      <c r="Q40" s="48"/>
      <c r="R40" s="46"/>
      <c r="S40" s="48"/>
      <c r="T40" s="57"/>
    </row>
    <row r="41" ht="27.75" customHeight="1">
      <c r="A41" s="50"/>
      <c r="B41" s="51"/>
      <c r="C41" s="52" t="s">
        <v>42</v>
      </c>
      <c r="D41" s="51"/>
      <c r="E41" s="51"/>
      <c r="F41" s="51"/>
      <c r="G41" s="51"/>
      <c r="H41" s="51"/>
      <c r="I41" s="51"/>
      <c r="J41" s="54"/>
      <c r="K41" s="55"/>
      <c r="L41" s="56"/>
      <c r="M41" s="84"/>
      <c r="N41" s="84"/>
      <c r="P41" s="46"/>
      <c r="Q41" s="85"/>
      <c r="R41" s="46"/>
      <c r="S41" s="85"/>
      <c r="T41" s="57"/>
    </row>
    <row r="42" ht="15.75" customHeight="1">
      <c r="A42" s="58"/>
      <c r="B42" s="59"/>
      <c r="C42" s="60"/>
      <c r="D42" s="60"/>
      <c r="E42" s="60"/>
      <c r="F42" s="60"/>
      <c r="G42" s="60"/>
      <c r="H42" s="61"/>
      <c r="I42" s="86"/>
      <c r="J42" s="87"/>
      <c r="K42" s="88"/>
      <c r="L42" s="25" t="str">
        <f>N42/P42*1000</f>
        <v>#DIV/0!</v>
      </c>
      <c r="M42" s="25">
        <f t="shared" ref="M42:N42" si="7">SUM(M35:M41)</f>
        <v>0</v>
      </c>
      <c r="N42" s="25">
        <f t="shared" si="7"/>
        <v>0</v>
      </c>
      <c r="O42" s="62"/>
      <c r="P42" s="63">
        <f>SUM(P35:P41)</f>
        <v>0</v>
      </c>
      <c r="Q42" s="89" t="str">
        <f>R42/P42</f>
        <v>#DIV/0!</v>
      </c>
      <c r="R42" s="63">
        <f>SUM(R35:R41)</f>
        <v>0</v>
      </c>
      <c r="S42" s="90">
        <f>S35</f>
        <v>0.7</v>
      </c>
      <c r="T42" s="62"/>
    </row>
    <row r="43">
      <c r="A43" s="1"/>
      <c r="B43" s="91"/>
      <c r="C43" s="5"/>
      <c r="D43" s="1"/>
      <c r="E43" s="1"/>
      <c r="F43" s="5"/>
      <c r="G43" s="5"/>
      <c r="H43" s="5"/>
      <c r="I43" s="5"/>
      <c r="J43" s="35"/>
      <c r="K43" s="1"/>
      <c r="L43" s="39"/>
      <c r="M43" s="39"/>
      <c r="N43" s="39"/>
      <c r="O43" s="39"/>
      <c r="P43" s="35"/>
      <c r="Q43" s="92"/>
      <c r="R43" s="35"/>
      <c r="S43" s="93"/>
      <c r="T43" s="39"/>
    </row>
    <row r="44" ht="15.75" customHeight="1">
      <c r="A44" s="1"/>
      <c r="B44" s="68" t="s">
        <v>54</v>
      </c>
      <c r="D44" s="17"/>
      <c r="E44" s="7"/>
      <c r="F44" s="1"/>
      <c r="G44" s="1"/>
      <c r="H44" s="17"/>
      <c r="I44" s="17"/>
      <c r="J44" s="18"/>
      <c r="K44" s="18"/>
      <c r="L44" s="18"/>
      <c r="M44" s="18"/>
      <c r="N44" s="18"/>
      <c r="O44" s="19"/>
      <c r="P44" s="20"/>
      <c r="Q44" s="20"/>
      <c r="R44" s="17"/>
      <c r="S44" s="17"/>
      <c r="T44" s="19"/>
    </row>
    <row r="45" ht="7.5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2"/>
      <c r="P45" s="3"/>
      <c r="Q45" s="3"/>
      <c r="R45" s="1"/>
      <c r="S45" s="1"/>
      <c r="T45" s="22"/>
    </row>
    <row r="46" ht="15.75" customHeight="1">
      <c r="A46" s="1"/>
      <c r="B46" s="23" t="s">
        <v>14</v>
      </c>
      <c r="C46" s="23" t="s">
        <v>15</v>
      </c>
      <c r="D46" s="23" t="s">
        <v>16</v>
      </c>
      <c r="E46" s="23" t="s">
        <v>17</v>
      </c>
      <c r="F46" s="23" t="s">
        <v>18</v>
      </c>
      <c r="G46" s="23" t="s">
        <v>19</v>
      </c>
      <c r="H46" s="23" t="s">
        <v>20</v>
      </c>
      <c r="I46" s="24" t="s">
        <v>21</v>
      </c>
      <c r="J46" s="18"/>
      <c r="K46" s="23" t="s">
        <v>22</v>
      </c>
      <c r="L46" s="25" t="s">
        <v>23</v>
      </c>
      <c r="M46" s="26" t="s">
        <v>24</v>
      </c>
      <c r="N46" s="26" t="s">
        <v>25</v>
      </c>
      <c r="O46" s="27"/>
      <c r="P46" s="28" t="s">
        <v>26</v>
      </c>
      <c r="Q46" s="29" t="s">
        <v>27</v>
      </c>
      <c r="R46" s="23" t="s">
        <v>28</v>
      </c>
      <c r="S46" s="23" t="s">
        <v>29</v>
      </c>
      <c r="T46" s="27"/>
    </row>
    <row r="47" ht="7.5" customHeight="1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22"/>
      <c r="M47" s="22"/>
      <c r="N47" s="22"/>
      <c r="O47" s="22"/>
      <c r="P47" s="6"/>
      <c r="Q47" s="30"/>
      <c r="R47" s="1"/>
      <c r="S47" s="1"/>
      <c r="T47" s="22"/>
    </row>
    <row r="48" ht="25.5" customHeight="1">
      <c r="A48" s="1"/>
      <c r="B48" s="31" t="s">
        <v>30</v>
      </c>
      <c r="C48" s="94" t="s">
        <v>55</v>
      </c>
      <c r="D48" s="34" t="s">
        <v>56</v>
      </c>
      <c r="E48" s="95" t="s">
        <v>57</v>
      </c>
      <c r="F48" s="34" t="str">
        <f t="shared" ref="F48:I48" si="8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48" s="34" t="str">
        <f t="shared" si="8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48" s="34" t="str">
        <f t="shared" si="8"/>
        <v>Brasil</v>
      </c>
      <c r="I48" s="34">
        <f t="shared" si="8"/>
        <v>4</v>
      </c>
      <c r="J48" s="35"/>
      <c r="K48" s="72" t="s">
        <v>37</v>
      </c>
      <c r="L48" s="96">
        <v>203.0</v>
      </c>
      <c r="M48" s="38">
        <f t="shared" ref="M48:M52" si="9">N48/80%</f>
        <v>250000</v>
      </c>
      <c r="N48" s="38">
        <v>200000.0</v>
      </c>
      <c r="O48" s="39"/>
      <c r="P48" s="40">
        <f t="shared" ref="P48:P52" si="10">N48/L48*1000</f>
        <v>985221.6749</v>
      </c>
      <c r="Q48" s="97">
        <v>0.0</v>
      </c>
      <c r="R48" s="42">
        <f t="shared" ref="R48:R52" si="11">P48*Q48</f>
        <v>0</v>
      </c>
      <c r="S48" s="76">
        <v>0.98</v>
      </c>
      <c r="T48" s="39"/>
    </row>
    <row r="49" ht="25.5" customHeight="1">
      <c r="A49" s="1"/>
      <c r="B49" s="44"/>
      <c r="C49" s="98" t="s">
        <v>58</v>
      </c>
      <c r="D49" s="53" t="s">
        <v>56</v>
      </c>
      <c r="E49" s="99" t="s">
        <v>57</v>
      </c>
      <c r="F49" s="44"/>
      <c r="G49" s="44"/>
      <c r="H49" s="44"/>
      <c r="I49" s="44"/>
      <c r="J49" s="35"/>
      <c r="K49" s="46"/>
      <c r="L49" s="100">
        <v>155.0</v>
      </c>
      <c r="M49" s="101">
        <f t="shared" si="9"/>
        <v>0</v>
      </c>
      <c r="N49" s="101">
        <v>0.0</v>
      </c>
      <c r="O49" s="57"/>
      <c r="P49" s="102">
        <f t="shared" si="10"/>
        <v>0</v>
      </c>
      <c r="Q49" s="103">
        <v>0.0</v>
      </c>
      <c r="R49" s="104">
        <f t="shared" si="11"/>
        <v>0</v>
      </c>
      <c r="S49" s="82">
        <v>0.98</v>
      </c>
      <c r="T49" s="39"/>
    </row>
    <row r="50" ht="25.5" customHeight="1">
      <c r="A50" s="1"/>
      <c r="B50" s="44"/>
      <c r="C50" s="98" t="s">
        <v>59</v>
      </c>
      <c r="D50" s="53" t="s">
        <v>56</v>
      </c>
      <c r="E50" s="99" t="s">
        <v>57</v>
      </c>
      <c r="F50" s="44"/>
      <c r="G50" s="44"/>
      <c r="H50" s="44"/>
      <c r="I50" s="44"/>
      <c r="J50" s="35"/>
      <c r="K50" s="46"/>
      <c r="L50" s="100">
        <v>177.0</v>
      </c>
      <c r="M50" s="101">
        <f t="shared" si="9"/>
        <v>0</v>
      </c>
      <c r="N50" s="101">
        <v>0.0</v>
      </c>
      <c r="O50" s="57"/>
      <c r="P50" s="102">
        <f t="shared" si="10"/>
        <v>0</v>
      </c>
      <c r="Q50" s="103">
        <v>0.0</v>
      </c>
      <c r="R50" s="104">
        <f t="shared" si="11"/>
        <v>0</v>
      </c>
      <c r="S50" s="82">
        <v>0.98</v>
      </c>
      <c r="T50" s="39"/>
    </row>
    <row r="51" ht="25.5" customHeight="1">
      <c r="A51" s="1"/>
      <c r="B51" s="44"/>
      <c r="C51" s="94" t="s">
        <v>60</v>
      </c>
      <c r="D51" s="34" t="s">
        <v>56</v>
      </c>
      <c r="E51" s="95" t="s">
        <v>57</v>
      </c>
      <c r="F51" s="44"/>
      <c r="G51" s="44"/>
      <c r="H51" s="44"/>
      <c r="I51" s="44"/>
      <c r="J51" s="35"/>
      <c r="K51" s="46"/>
      <c r="L51" s="96">
        <v>198.0</v>
      </c>
      <c r="M51" s="38">
        <f t="shared" si="9"/>
        <v>500000</v>
      </c>
      <c r="N51" s="38">
        <v>400000.0</v>
      </c>
      <c r="O51" s="39"/>
      <c r="P51" s="40">
        <f t="shared" si="10"/>
        <v>2020202.02</v>
      </c>
      <c r="Q51" s="97">
        <v>0.0</v>
      </c>
      <c r="R51" s="42">
        <f t="shared" si="11"/>
        <v>0</v>
      </c>
      <c r="S51" s="76">
        <v>0.98</v>
      </c>
      <c r="T51" s="39"/>
    </row>
    <row r="52" ht="25.5" customHeight="1">
      <c r="A52" s="50"/>
      <c r="B52" s="51"/>
      <c r="C52" s="98" t="s">
        <v>61</v>
      </c>
      <c r="D52" s="73" t="s">
        <v>32</v>
      </c>
      <c r="E52" s="99" t="s">
        <v>62</v>
      </c>
      <c r="F52" s="51"/>
      <c r="G52" s="51"/>
      <c r="H52" s="51"/>
      <c r="I52" s="51"/>
      <c r="J52" s="54"/>
      <c r="K52" s="55"/>
      <c r="L52" s="100">
        <v>25.0</v>
      </c>
      <c r="M52" s="101">
        <f t="shared" si="9"/>
        <v>0</v>
      </c>
      <c r="N52" s="101">
        <v>0.0</v>
      </c>
      <c r="O52" s="57"/>
      <c r="P52" s="102">
        <f t="shared" si="10"/>
        <v>0</v>
      </c>
      <c r="Q52" s="105">
        <v>0.01</v>
      </c>
      <c r="R52" s="104">
        <f t="shared" si="11"/>
        <v>0</v>
      </c>
      <c r="S52" s="82">
        <v>0.7</v>
      </c>
      <c r="T52" s="57"/>
    </row>
    <row r="53" ht="15.75" customHeight="1">
      <c r="A53" s="58"/>
      <c r="B53" s="59"/>
      <c r="C53" s="60"/>
      <c r="D53" s="60"/>
      <c r="E53" s="60"/>
      <c r="F53" s="60"/>
      <c r="G53" s="60"/>
      <c r="H53" s="61"/>
      <c r="I53" s="86"/>
      <c r="J53" s="87"/>
      <c r="K53" s="88"/>
      <c r="L53" s="25">
        <f>N53/P53*1000</f>
        <v>199.6390728</v>
      </c>
      <c r="M53" s="25">
        <f t="shared" ref="M53:N53" si="12">SUM(M48:M52)</f>
        <v>750000</v>
      </c>
      <c r="N53" s="25">
        <f t="shared" si="12"/>
        <v>600000</v>
      </c>
      <c r="O53" s="62"/>
      <c r="P53" s="63">
        <f>SUM(P48:P52)</f>
        <v>3005423.695</v>
      </c>
      <c r="Q53" s="107" t="s">
        <v>63</v>
      </c>
      <c r="R53" s="63">
        <f>SUM(R48:R52)</f>
        <v>0</v>
      </c>
      <c r="S53" s="108" t="s">
        <v>63</v>
      </c>
      <c r="T53" s="62"/>
    </row>
    <row r="54">
      <c r="A54" s="1"/>
      <c r="B54" s="91"/>
      <c r="C54" s="5"/>
      <c r="D54" s="1"/>
      <c r="E54" s="1"/>
      <c r="F54" s="5"/>
      <c r="G54" s="5"/>
      <c r="H54" s="5"/>
      <c r="I54" s="5"/>
      <c r="J54" s="35"/>
      <c r="K54" s="1"/>
      <c r="L54" s="39"/>
      <c r="M54" s="39"/>
      <c r="N54" s="39"/>
      <c r="O54" s="39"/>
      <c r="P54" s="35"/>
      <c r="Q54" s="92"/>
      <c r="R54" s="35"/>
      <c r="S54" s="93"/>
      <c r="T54" s="39"/>
    </row>
    <row r="55" ht="15.75" customHeight="1">
      <c r="A55" s="1"/>
      <c r="B55" s="68" t="s">
        <v>64</v>
      </c>
      <c r="D55" s="17"/>
      <c r="E55" s="7"/>
      <c r="F55" s="1"/>
      <c r="G55" s="1"/>
      <c r="H55" s="17"/>
      <c r="I55" s="17"/>
      <c r="J55" s="18"/>
      <c r="K55" s="18"/>
      <c r="L55" s="18"/>
      <c r="M55" s="18"/>
      <c r="N55" s="18"/>
      <c r="O55" s="19"/>
      <c r="P55" s="20"/>
      <c r="Q55" s="20"/>
      <c r="R55" s="17"/>
      <c r="S55" s="17"/>
      <c r="T55" s="19"/>
    </row>
    <row r="56" ht="7.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22"/>
      <c r="P56" s="3"/>
      <c r="Q56" s="3"/>
      <c r="R56" s="1"/>
      <c r="S56" s="1"/>
      <c r="T56" s="22"/>
    </row>
    <row r="57" ht="15.75" customHeight="1">
      <c r="A57" s="1"/>
      <c r="B57" s="23" t="s">
        <v>14</v>
      </c>
      <c r="C57" s="23" t="s">
        <v>15</v>
      </c>
      <c r="D57" s="23" t="s">
        <v>16</v>
      </c>
      <c r="E57" s="23" t="s">
        <v>17</v>
      </c>
      <c r="F57" s="23" t="s">
        <v>18</v>
      </c>
      <c r="G57" s="23" t="s">
        <v>19</v>
      </c>
      <c r="H57" s="23" t="s">
        <v>20</v>
      </c>
      <c r="I57" s="24" t="s">
        <v>21</v>
      </c>
      <c r="J57" s="18"/>
      <c r="K57" s="23" t="s">
        <v>22</v>
      </c>
      <c r="L57" s="25" t="s">
        <v>23</v>
      </c>
      <c r="M57" s="26" t="s">
        <v>24</v>
      </c>
      <c r="N57" s="26" t="s">
        <v>25</v>
      </c>
      <c r="O57" s="27"/>
      <c r="P57" s="28" t="s">
        <v>26</v>
      </c>
      <c r="Q57" s="26" t="s">
        <v>27</v>
      </c>
      <c r="R57" s="109" t="s">
        <v>28</v>
      </c>
      <c r="S57" s="23" t="s">
        <v>29</v>
      </c>
      <c r="T57" s="27"/>
    </row>
    <row r="58" ht="7.5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22"/>
      <c r="M58" s="22"/>
      <c r="N58" s="22"/>
      <c r="O58" s="22"/>
      <c r="P58" s="6"/>
      <c r="Q58" s="30"/>
      <c r="R58" s="1"/>
      <c r="S58" s="1"/>
      <c r="T58" s="22"/>
    </row>
    <row r="59" ht="55.5" customHeight="1">
      <c r="A59" s="50"/>
      <c r="B59" s="110" t="s">
        <v>30</v>
      </c>
      <c r="C59" s="52" t="s">
        <v>65</v>
      </c>
      <c r="D59" s="111" t="s">
        <v>32</v>
      </c>
      <c r="E59" s="52" t="s">
        <v>66</v>
      </c>
      <c r="F59" s="112" t="str">
        <f t="shared" ref="F59:I59" si="1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59" s="112" t="str">
        <f t="shared" si="1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59" s="112" t="str">
        <f t="shared" si="13"/>
        <v>Brasil</v>
      </c>
      <c r="I59" s="112">
        <f t="shared" si="13"/>
        <v>4</v>
      </c>
      <c r="J59" s="54"/>
      <c r="K59" s="113" t="s">
        <v>67</v>
      </c>
      <c r="L59" s="114">
        <v>0.9</v>
      </c>
      <c r="M59" s="101">
        <f>N59/80%</f>
        <v>0</v>
      </c>
      <c r="N59" s="101">
        <v>0.0</v>
      </c>
      <c r="O59" s="57"/>
      <c r="P59" s="81">
        <f>R59/Q59</f>
        <v>0</v>
      </c>
      <c r="Q59" s="103">
        <v>0.01</v>
      </c>
      <c r="R59" s="104">
        <f>N59/L59</f>
        <v>0</v>
      </c>
      <c r="S59" s="82">
        <v>0.7</v>
      </c>
      <c r="T59" s="57"/>
    </row>
    <row r="60" ht="15.75" customHeight="1">
      <c r="A60" s="58"/>
      <c r="B60" s="59"/>
      <c r="C60" s="60"/>
      <c r="D60" s="60"/>
      <c r="E60" s="60"/>
      <c r="F60" s="60"/>
      <c r="G60" s="60"/>
      <c r="H60" s="61"/>
      <c r="I60" s="86"/>
      <c r="J60" s="87"/>
      <c r="K60" s="88"/>
      <c r="L60" s="25">
        <f>AVERAGE(L59)</f>
        <v>0.9</v>
      </c>
      <c r="M60" s="25">
        <f t="shared" ref="M60:N60" si="14">SUM(M59)</f>
        <v>0</v>
      </c>
      <c r="N60" s="25">
        <f t="shared" si="14"/>
        <v>0</v>
      </c>
      <c r="O60" s="62"/>
      <c r="P60" s="63">
        <f>SUM(P59)</f>
        <v>0</v>
      </c>
      <c r="Q60" s="64" t="str">
        <f>R60/P60</f>
        <v>#DIV/0!</v>
      </c>
      <c r="R60" s="63">
        <f>SUM(R59)</f>
        <v>0</v>
      </c>
      <c r="S60" s="90">
        <f>S59</f>
        <v>0.7</v>
      </c>
      <c r="T60" s="62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5.75" customHeight="1">
      <c r="A62" s="1"/>
      <c r="B62" s="68" t="s">
        <v>68</v>
      </c>
      <c r="D62" s="17"/>
      <c r="E62" s="7"/>
      <c r="F62" s="1"/>
      <c r="G62" s="1"/>
      <c r="H62" s="17"/>
      <c r="I62" s="17"/>
      <c r="J62" s="18"/>
      <c r="K62" s="18"/>
      <c r="L62" s="18"/>
      <c r="M62" s="18"/>
      <c r="N62" s="18"/>
      <c r="O62" s="19"/>
      <c r="P62" s="20"/>
      <c r="Q62" s="20"/>
      <c r="R62" s="17"/>
      <c r="S62" s="17"/>
      <c r="T62" s="19"/>
    </row>
    <row r="63" ht="7.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22"/>
      <c r="P63" s="3"/>
      <c r="Q63" s="3"/>
      <c r="R63" s="1"/>
      <c r="S63" s="1"/>
      <c r="T63" s="22"/>
    </row>
    <row r="64" ht="15.75" customHeight="1">
      <c r="A64" s="1"/>
      <c r="B64" s="23" t="s">
        <v>14</v>
      </c>
      <c r="C64" s="23" t="s">
        <v>15</v>
      </c>
      <c r="D64" s="23" t="s">
        <v>16</v>
      </c>
      <c r="E64" s="23" t="s">
        <v>17</v>
      </c>
      <c r="F64" s="23" t="s">
        <v>18</v>
      </c>
      <c r="G64" s="23" t="s">
        <v>19</v>
      </c>
      <c r="H64" s="23" t="s">
        <v>20</v>
      </c>
      <c r="I64" s="24" t="s">
        <v>21</v>
      </c>
      <c r="J64" s="18"/>
      <c r="K64" s="23" t="s">
        <v>22</v>
      </c>
      <c r="L64" s="25" t="s">
        <v>23</v>
      </c>
      <c r="M64" s="26" t="s">
        <v>24</v>
      </c>
      <c r="N64" s="26" t="s">
        <v>25</v>
      </c>
      <c r="O64" s="27"/>
      <c r="P64" s="28" t="s">
        <v>26</v>
      </c>
      <c r="Q64" s="26" t="s">
        <v>27</v>
      </c>
      <c r="R64" s="109" t="s">
        <v>28</v>
      </c>
      <c r="S64" s="23" t="s">
        <v>29</v>
      </c>
      <c r="T64" s="27"/>
    </row>
    <row r="65" ht="7.5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22"/>
      <c r="M65" s="22"/>
      <c r="N65" s="22"/>
      <c r="O65" s="22"/>
      <c r="P65" s="6"/>
      <c r="Q65" s="30"/>
      <c r="R65" s="1"/>
      <c r="S65" s="1"/>
      <c r="T65" s="22"/>
    </row>
    <row r="66" ht="36.75" customHeight="1">
      <c r="A66" s="50"/>
      <c r="B66" s="71" t="s">
        <v>30</v>
      </c>
      <c r="C66" s="52" t="s">
        <v>69</v>
      </c>
      <c r="D66" s="78" t="s">
        <v>70</v>
      </c>
      <c r="E66" s="52" t="s">
        <v>71</v>
      </c>
      <c r="F66" s="121" t="str">
        <f t="shared" ref="F66:H66" si="15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66" s="121" t="str">
        <f t="shared" si="15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66" s="121" t="str">
        <f t="shared" si="15"/>
        <v>Brasil</v>
      </c>
      <c r="I66" s="121">
        <v>2.0</v>
      </c>
      <c r="J66" s="54"/>
      <c r="K66" s="78" t="s">
        <v>72</v>
      </c>
      <c r="L66" s="114">
        <v>0.7</v>
      </c>
      <c r="M66" s="101">
        <f t="shared" ref="M66:M67" si="16">N66/80%</f>
        <v>0</v>
      </c>
      <c r="N66" s="101">
        <v>0.0</v>
      </c>
      <c r="O66" s="57"/>
      <c r="P66" s="81">
        <f t="shared" ref="P66:P67" si="17">N66/L66</f>
        <v>0</v>
      </c>
      <c r="Q66" s="103">
        <v>0.02</v>
      </c>
      <c r="R66" s="104">
        <f t="shared" ref="R66:R67" si="18">P66*Q66</f>
        <v>0</v>
      </c>
      <c r="S66" s="83">
        <v>0.9</v>
      </c>
      <c r="T66" s="57"/>
    </row>
    <row r="67" ht="36.75" customHeight="1">
      <c r="A67" s="50"/>
      <c r="B67" s="51"/>
      <c r="C67" s="52" t="s">
        <v>73</v>
      </c>
      <c r="D67" s="55"/>
      <c r="E67" s="52" t="s">
        <v>71</v>
      </c>
      <c r="F67" s="122"/>
      <c r="G67" s="122"/>
      <c r="H67" s="122"/>
      <c r="I67" s="121">
        <v>1.0</v>
      </c>
      <c r="J67" s="54"/>
      <c r="K67" s="78" t="s">
        <v>72</v>
      </c>
      <c r="L67" s="114">
        <v>0.7</v>
      </c>
      <c r="M67" s="101">
        <f t="shared" si="16"/>
        <v>0</v>
      </c>
      <c r="N67" s="101">
        <v>0.0</v>
      </c>
      <c r="O67" s="57"/>
      <c r="P67" s="81">
        <f t="shared" si="17"/>
        <v>0</v>
      </c>
      <c r="Q67" s="103">
        <v>0.02</v>
      </c>
      <c r="R67" s="104">
        <f t="shared" si="18"/>
        <v>0</v>
      </c>
      <c r="S67" s="85"/>
      <c r="T67" s="57"/>
    </row>
    <row r="68" ht="15.75" customHeight="1">
      <c r="A68" s="58"/>
      <c r="B68" s="59"/>
      <c r="C68" s="60"/>
      <c r="D68" s="60"/>
      <c r="E68" s="60"/>
      <c r="F68" s="60"/>
      <c r="G68" s="60"/>
      <c r="H68" s="61"/>
      <c r="I68" s="86"/>
      <c r="J68" s="87"/>
      <c r="K68" s="88"/>
      <c r="L68" s="26" t="s">
        <v>74</v>
      </c>
      <c r="M68" s="25">
        <f t="shared" ref="M68:N68" si="19">SUM(M66:M67)</f>
        <v>0</v>
      </c>
      <c r="N68" s="25">
        <f t="shared" si="19"/>
        <v>0</v>
      </c>
      <c r="O68" s="62"/>
      <c r="P68" s="63">
        <f>SUM(P66:P67)</f>
        <v>0</v>
      </c>
      <c r="Q68" s="64" t="str">
        <f>R68/P68</f>
        <v>#DIV/0!</v>
      </c>
      <c r="R68" s="63">
        <f>SUM(R66:R67)</f>
        <v>0</v>
      </c>
      <c r="S68" s="90">
        <f>S66</f>
        <v>0.9</v>
      </c>
      <c r="T68" s="62"/>
    </row>
    <row r="69" ht="15.75" customHeight="1">
      <c r="A69" s="124"/>
      <c r="B69" s="18"/>
      <c r="C69" s="18"/>
      <c r="D69" s="18"/>
      <c r="E69" s="18"/>
      <c r="F69" s="18"/>
      <c r="G69" s="18"/>
      <c r="H69" s="18"/>
      <c r="I69" s="17"/>
      <c r="J69" s="18"/>
      <c r="K69" s="18"/>
      <c r="L69" s="125"/>
      <c r="M69" s="126"/>
      <c r="N69" s="126"/>
      <c r="O69" s="19"/>
      <c r="P69" s="20"/>
      <c r="Q69" s="20"/>
      <c r="R69" s="20"/>
      <c r="S69" s="20"/>
      <c r="T69" s="19"/>
    </row>
    <row r="70" ht="15.75" customHeight="1">
      <c r="A70" s="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127" t="s">
        <v>74</v>
      </c>
      <c r="M70" s="128" t="s">
        <v>24</v>
      </c>
      <c r="N70" s="129" t="s">
        <v>25</v>
      </c>
      <c r="O70" s="19"/>
      <c r="P70" s="130" t="s">
        <v>26</v>
      </c>
      <c r="Q70" s="131" t="s">
        <v>28</v>
      </c>
      <c r="R70" s="132" t="s">
        <v>75</v>
      </c>
      <c r="S70" s="20"/>
      <c r="T70" s="19"/>
    </row>
    <row r="71" ht="15.75" customHeight="1">
      <c r="A71" s="1"/>
      <c r="B71" s="133"/>
      <c r="C71" s="60"/>
      <c r="D71" s="60"/>
      <c r="E71" s="60"/>
      <c r="F71" s="60"/>
      <c r="G71" s="60"/>
      <c r="H71" s="61"/>
      <c r="I71" s="134" t="s">
        <v>76</v>
      </c>
      <c r="J71" s="60"/>
      <c r="K71" s="61"/>
      <c r="L71" s="127" t="s">
        <v>74</v>
      </c>
      <c r="M71" s="135">
        <f t="shared" ref="M71:M72" si="20">N71/80%</f>
        <v>875000</v>
      </c>
      <c r="N71" s="135">
        <f>SUM(N68,N53,N42,N29,N60)</f>
        <v>700000</v>
      </c>
      <c r="O71" s="19"/>
      <c r="P71" s="136">
        <f>SUM(P68,P53,P42,P29,P60)</f>
        <v>12264682.95</v>
      </c>
      <c r="Q71" s="137">
        <f>R53+R29+R68+R60</f>
        <v>27777.77778</v>
      </c>
      <c r="R71" s="137">
        <f>SUM(R42)</f>
        <v>0</v>
      </c>
      <c r="S71" s="20"/>
      <c r="T71" s="19"/>
    </row>
    <row r="72" ht="15.75" customHeight="1">
      <c r="A72" s="1"/>
      <c r="B72" s="133"/>
      <c r="C72" s="60"/>
      <c r="D72" s="60"/>
      <c r="E72" s="60"/>
      <c r="F72" s="60"/>
      <c r="G72" s="60"/>
      <c r="H72" s="61"/>
      <c r="I72" s="134" t="s">
        <v>77</v>
      </c>
      <c r="J72" s="60"/>
      <c r="K72" s="61"/>
      <c r="L72" s="127" t="s">
        <v>74</v>
      </c>
      <c r="M72" s="135">
        <f t="shared" si="20"/>
        <v>218750</v>
      </c>
      <c r="N72" s="135">
        <f>N71/I21</f>
        <v>175000</v>
      </c>
      <c r="O72" s="138"/>
      <c r="P72" s="137">
        <f>P71/I21</f>
        <v>3066170.739</v>
      </c>
      <c r="Q72" s="137">
        <f t="shared" ref="Q72:R72" si="21">Q71</f>
        <v>27777.77778</v>
      </c>
      <c r="R72" s="137">
        <f t="shared" si="21"/>
        <v>0</v>
      </c>
      <c r="S72" s="20"/>
      <c r="T72" s="19"/>
    </row>
    <row r="73" ht="15.75" customHeight="1">
      <c r="A73" s="1"/>
      <c r="B73" s="18"/>
      <c r="C73" s="18"/>
      <c r="D73" s="18"/>
      <c r="E73" s="18"/>
      <c r="F73" s="18"/>
      <c r="G73" s="18"/>
      <c r="H73" s="18"/>
      <c r="I73" s="5"/>
      <c r="J73" s="18"/>
      <c r="K73" s="18"/>
      <c r="L73" s="18"/>
      <c r="M73" s="18"/>
      <c r="N73" s="18"/>
      <c r="O73" s="19"/>
      <c r="P73" s="20"/>
      <c r="Q73" s="20"/>
      <c r="R73" s="20"/>
      <c r="S73" s="20"/>
      <c r="T73" s="19"/>
    </row>
    <row r="74" ht="15.75" customHeight="1">
      <c r="A74" s="139"/>
      <c r="B74" s="140" t="s">
        <v>78</v>
      </c>
      <c r="C74" s="141"/>
      <c r="D74" s="141"/>
      <c r="E74" s="141"/>
      <c r="F74" s="142"/>
      <c r="G74" s="17"/>
      <c r="H74" s="17"/>
      <c r="I74" s="143"/>
      <c r="J74" s="18"/>
      <c r="K74" s="18"/>
      <c r="L74" s="18"/>
      <c r="M74" s="18"/>
      <c r="N74" s="18"/>
      <c r="O74" s="138"/>
      <c r="P74" s="20"/>
      <c r="Q74" s="20"/>
      <c r="R74" s="20"/>
      <c r="S74" s="20"/>
      <c r="T74" s="138"/>
    </row>
    <row r="75" ht="15.75" customHeight="1">
      <c r="A75" s="139"/>
      <c r="B75" s="144" t="s">
        <v>79</v>
      </c>
      <c r="C75" s="145" t="s">
        <v>80</v>
      </c>
      <c r="D75" s="145" t="s">
        <v>81</v>
      </c>
      <c r="E75" s="145" t="s">
        <v>82</v>
      </c>
      <c r="F75" s="144" t="s">
        <v>83</v>
      </c>
      <c r="G75" s="1"/>
      <c r="H75" s="1"/>
      <c r="I75" s="139"/>
      <c r="J75" s="18"/>
      <c r="K75" s="18"/>
      <c r="L75" s="18"/>
      <c r="M75" s="18"/>
      <c r="N75" s="18"/>
      <c r="O75" s="19"/>
      <c r="P75" s="20"/>
      <c r="Q75" s="20"/>
      <c r="R75" s="20"/>
      <c r="S75" s="20"/>
      <c r="T75" s="19"/>
    </row>
    <row r="76" ht="15.75" customHeight="1">
      <c r="A76" s="139"/>
      <c r="B76" s="146">
        <f>TODAY()+10</f>
        <v>46270</v>
      </c>
      <c r="C76" s="146">
        <f>B76+D76</f>
        <v>46390</v>
      </c>
      <c r="D76" s="147">
        <f>30*I21</f>
        <v>120</v>
      </c>
      <c r="E76" s="148">
        <f>N71/D76</f>
        <v>5833.333333</v>
      </c>
      <c r="F76" s="149">
        <f>P71/D76</f>
        <v>102205.6913</v>
      </c>
      <c r="G76" s="1"/>
      <c r="H76" s="1"/>
      <c r="I76" s="139"/>
      <c r="J76" s="18"/>
      <c r="K76" s="18"/>
      <c r="L76" s="18"/>
      <c r="M76" s="18"/>
      <c r="N76" s="18"/>
      <c r="O76" s="19"/>
      <c r="P76" s="20"/>
      <c r="Q76" s="20"/>
      <c r="R76" s="20"/>
      <c r="S76" s="20"/>
      <c r="T76" s="19"/>
    </row>
    <row r="77" ht="15.75" customHeight="1">
      <c r="A77" s="139"/>
      <c r="B77" s="144" t="s">
        <v>84</v>
      </c>
      <c r="C77" s="145" t="s">
        <v>85</v>
      </c>
      <c r="D77" s="145" t="s">
        <v>86</v>
      </c>
      <c r="E77" s="145" t="s">
        <v>87</v>
      </c>
      <c r="F77" s="144" t="s">
        <v>88</v>
      </c>
      <c r="G77" s="1"/>
      <c r="H77" s="5"/>
      <c r="I77" s="139"/>
      <c r="J77" s="18"/>
      <c r="K77" s="18"/>
      <c r="L77" s="18"/>
      <c r="M77" s="18"/>
      <c r="N77" s="18"/>
      <c r="O77" s="19"/>
      <c r="P77" s="20"/>
      <c r="Q77" s="20"/>
      <c r="R77" s="20"/>
      <c r="S77" s="20"/>
      <c r="T77" s="19"/>
    </row>
    <row r="78" ht="15.75" customHeight="1">
      <c r="A78" s="139"/>
      <c r="B78" s="150">
        <v>2.0</v>
      </c>
      <c r="C78" s="151">
        <v>6.0</v>
      </c>
      <c r="D78" s="152">
        <f>B78*C78</f>
        <v>12</v>
      </c>
      <c r="E78" s="148">
        <f>E76/D78</f>
        <v>486.1111111</v>
      </c>
      <c r="F78" s="149">
        <f>F76/D78</f>
        <v>8517.140941</v>
      </c>
      <c r="G78" s="139"/>
      <c r="H78" s="143"/>
      <c r="I78" s="139"/>
      <c r="J78" s="18"/>
      <c r="K78" s="18"/>
      <c r="L78" s="18"/>
      <c r="M78" s="18"/>
      <c r="N78" s="18"/>
      <c r="O78" s="19"/>
      <c r="P78" s="20"/>
      <c r="Q78" s="20"/>
      <c r="R78" s="20"/>
      <c r="S78" s="20"/>
      <c r="T78" s="19"/>
    </row>
    <row r="79" ht="15.75" customHeight="1">
      <c r="A79" s="139"/>
      <c r="B79" s="153" t="s">
        <v>89</v>
      </c>
      <c r="C79" s="142"/>
      <c r="D79" s="154" t="s">
        <v>90</v>
      </c>
      <c r="E79" s="154" t="s">
        <v>91</v>
      </c>
      <c r="F79" s="144" t="s">
        <v>92</v>
      </c>
      <c r="G79" s="139"/>
      <c r="H79" s="139"/>
      <c r="I79" s="139"/>
      <c r="J79" s="18"/>
      <c r="K79" s="18"/>
      <c r="L79" s="18"/>
      <c r="M79" s="18"/>
      <c r="N79" s="18"/>
      <c r="O79" s="19"/>
      <c r="P79" s="20"/>
      <c r="Q79" s="20"/>
      <c r="R79" s="20"/>
      <c r="S79" s="20"/>
      <c r="T79" s="19"/>
    </row>
    <row r="80" ht="15.75" customHeight="1">
      <c r="A80" s="6"/>
      <c r="B80" s="155">
        <v>1.0</v>
      </c>
      <c r="C80" s="142"/>
      <c r="D80" s="152">
        <f>B80</f>
        <v>1</v>
      </c>
      <c r="E80" s="148">
        <f>E78/D80</f>
        <v>486.1111111</v>
      </c>
      <c r="F80" s="149">
        <f>F78/D80</f>
        <v>8517.140941</v>
      </c>
      <c r="G80" s="139"/>
      <c r="H80" s="139"/>
      <c r="I80" s="139"/>
      <c r="J80" s="18"/>
      <c r="K80" s="18"/>
      <c r="L80" s="18"/>
      <c r="M80" s="18"/>
      <c r="N80" s="18"/>
      <c r="O80" s="19"/>
      <c r="P80" s="20"/>
      <c r="Q80" s="20"/>
      <c r="R80" s="20"/>
      <c r="S80" s="20"/>
      <c r="T80" s="19"/>
    </row>
    <row r="81" ht="15.75" customHeight="1">
      <c r="A81" s="6"/>
      <c r="B81" s="156"/>
      <c r="C81" s="157"/>
      <c r="D81" s="157"/>
      <c r="E81" s="157"/>
      <c r="F81" s="156"/>
      <c r="H81" s="139"/>
      <c r="I81" s="139"/>
      <c r="J81" s="18"/>
      <c r="K81" s="18"/>
      <c r="L81" s="18"/>
      <c r="M81" s="18"/>
      <c r="N81" s="18"/>
      <c r="O81" s="19"/>
      <c r="P81" s="20"/>
      <c r="Q81" s="20"/>
      <c r="R81" s="20"/>
      <c r="S81" s="20"/>
      <c r="T81" s="19"/>
    </row>
    <row r="82" ht="15.75" customHeight="1">
      <c r="A82" s="6"/>
      <c r="B82" s="158" t="s">
        <v>93</v>
      </c>
      <c r="D82" s="159" t="s">
        <v>94</v>
      </c>
      <c r="G82" s="139"/>
      <c r="H82" s="139"/>
      <c r="I82" s="139"/>
      <c r="J82" s="18"/>
      <c r="K82" s="18"/>
      <c r="L82" s="18"/>
      <c r="M82" s="18"/>
      <c r="N82" s="18"/>
      <c r="O82" s="19"/>
      <c r="P82" s="20"/>
      <c r="Q82" s="20"/>
      <c r="R82" s="20"/>
      <c r="S82" s="20"/>
      <c r="T82" s="19"/>
    </row>
    <row r="83" ht="15.75" customHeight="1">
      <c r="A83" s="6"/>
      <c r="B83" s="160" t="s">
        <v>95</v>
      </c>
      <c r="C83" s="161"/>
      <c r="D83" s="162" t="s">
        <v>96</v>
      </c>
      <c r="F83" s="163"/>
      <c r="H83" s="139"/>
      <c r="I83" s="139"/>
      <c r="J83" s="18"/>
      <c r="K83" s="18"/>
      <c r="L83" s="18"/>
      <c r="M83" s="18"/>
      <c r="N83" s="18"/>
      <c r="O83" s="19"/>
      <c r="P83" s="20"/>
      <c r="Q83" s="20"/>
      <c r="R83" s="20"/>
      <c r="S83" s="20"/>
      <c r="T83" s="19"/>
    </row>
    <row r="84" ht="15.75" customHeight="1">
      <c r="A84" s="6"/>
      <c r="B84" s="160" t="s">
        <v>97</v>
      </c>
      <c r="C84" s="161"/>
      <c r="D84" s="162">
        <v>18.0</v>
      </c>
      <c r="F84" s="163"/>
      <c r="G84" s="139"/>
      <c r="H84" s="139"/>
      <c r="I84" s="139"/>
      <c r="J84" s="18"/>
      <c r="K84" s="18"/>
      <c r="L84" s="18"/>
      <c r="M84" s="18"/>
      <c r="N84" s="18"/>
      <c r="O84" s="19"/>
      <c r="P84" s="20"/>
      <c r="Q84" s="20"/>
      <c r="R84" s="20"/>
      <c r="S84" s="20"/>
      <c r="T84" s="19"/>
    </row>
    <row r="85" ht="15.75" customHeight="1">
      <c r="A85" s="6"/>
      <c r="B85" s="160" t="s">
        <v>98</v>
      </c>
      <c r="C85" s="161"/>
      <c r="D85" s="162" t="s">
        <v>99</v>
      </c>
      <c r="F85" s="163"/>
      <c r="H85" s="139"/>
      <c r="I85" s="139"/>
      <c r="J85" s="18"/>
      <c r="K85" s="18"/>
      <c r="L85" s="18"/>
      <c r="M85" s="18"/>
      <c r="N85" s="18"/>
      <c r="O85" s="19"/>
      <c r="P85" s="20"/>
      <c r="Q85" s="20"/>
      <c r="R85" s="20"/>
      <c r="S85" s="20"/>
      <c r="T85" s="19"/>
    </row>
    <row r="86" ht="15.75" customHeight="1">
      <c r="A86" s="6"/>
      <c r="B86" s="160" t="s">
        <v>100</v>
      </c>
      <c r="C86" s="161"/>
      <c r="D86" s="162" t="s">
        <v>101</v>
      </c>
      <c r="F86" s="163"/>
      <c r="G86" s="139"/>
      <c r="H86" s="139"/>
      <c r="I86" s="139"/>
      <c r="J86" s="18"/>
      <c r="K86" s="18"/>
      <c r="L86" s="18"/>
      <c r="M86" s="18"/>
      <c r="N86" s="18"/>
      <c r="O86" s="19"/>
      <c r="P86" s="20"/>
      <c r="Q86" s="20"/>
      <c r="R86" s="20"/>
      <c r="S86" s="20"/>
      <c r="T86" s="19"/>
    </row>
    <row r="87" ht="15.75" customHeight="1">
      <c r="A87" s="6"/>
      <c r="B87" s="160" t="s">
        <v>102</v>
      </c>
      <c r="C87" s="161"/>
      <c r="D87" s="162" t="s">
        <v>103</v>
      </c>
      <c r="F87" s="163"/>
      <c r="H87" s="139"/>
      <c r="I87" s="139"/>
      <c r="J87" s="18"/>
      <c r="K87" s="18"/>
      <c r="L87" s="18"/>
      <c r="M87" s="18"/>
      <c r="N87" s="18"/>
      <c r="O87" s="19"/>
      <c r="P87" s="20"/>
      <c r="Q87" s="20"/>
      <c r="R87" s="20"/>
      <c r="S87" s="20"/>
      <c r="T87" s="19"/>
    </row>
    <row r="88" ht="15.75" customHeight="1">
      <c r="A88" s="6"/>
      <c r="B88" s="160" t="s">
        <v>104</v>
      </c>
      <c r="C88" s="161"/>
      <c r="D88" s="162" t="s">
        <v>105</v>
      </c>
      <c r="F88" s="163"/>
      <c r="G88" s="139"/>
      <c r="H88" s="139"/>
      <c r="I88" s="139"/>
      <c r="J88" s="18"/>
      <c r="K88" s="18"/>
      <c r="L88" s="18"/>
      <c r="M88" s="18"/>
      <c r="N88" s="18"/>
      <c r="O88" s="19"/>
      <c r="P88" s="20"/>
      <c r="Q88" s="20"/>
      <c r="R88" s="20"/>
      <c r="S88" s="20"/>
      <c r="T88" s="19"/>
    </row>
    <row r="89" ht="15.75" customHeight="1">
      <c r="A89" s="6"/>
      <c r="B89" s="164" t="s">
        <v>106</v>
      </c>
      <c r="C89" s="165"/>
      <c r="D89" s="166" t="s">
        <v>107</v>
      </c>
      <c r="E89" s="167"/>
      <c r="F89" s="168"/>
      <c r="H89" s="139"/>
      <c r="I89" s="139"/>
      <c r="J89" s="18"/>
      <c r="K89" s="18"/>
      <c r="L89" s="18"/>
      <c r="M89" s="18"/>
      <c r="N89" s="18"/>
      <c r="O89" s="19"/>
      <c r="P89" s="20"/>
      <c r="Q89" s="20"/>
      <c r="R89" s="20"/>
      <c r="S89" s="20"/>
      <c r="T89" s="19"/>
    </row>
    <row r="90" ht="15.75" customHeight="1">
      <c r="A90" s="6"/>
      <c r="B90" s="156"/>
      <c r="C90" s="157"/>
      <c r="D90" s="157"/>
      <c r="E90" s="157"/>
      <c r="F90" s="156"/>
      <c r="G90" s="139"/>
      <c r="H90" s="139"/>
      <c r="I90" s="139"/>
      <c r="J90" s="18"/>
      <c r="K90" s="18"/>
      <c r="L90" s="18"/>
      <c r="M90" s="18"/>
      <c r="N90" s="18"/>
      <c r="O90" s="19"/>
      <c r="P90" s="20"/>
      <c r="Q90" s="20"/>
      <c r="R90" s="20"/>
      <c r="S90" s="20"/>
      <c r="T90" s="19"/>
    </row>
    <row r="91" ht="15.75" customHeight="1">
      <c r="A91" s="6"/>
      <c r="B91" s="156"/>
      <c r="C91" s="157"/>
      <c r="D91" s="157"/>
      <c r="E91" s="157"/>
      <c r="F91" s="156"/>
      <c r="H91" s="139"/>
      <c r="I91" s="139"/>
      <c r="J91" s="18"/>
      <c r="K91" s="18"/>
      <c r="L91" s="18"/>
      <c r="M91" s="18"/>
      <c r="N91" s="18"/>
      <c r="O91" s="19"/>
      <c r="P91" s="20"/>
      <c r="Q91" s="20"/>
      <c r="R91" s="20"/>
      <c r="S91" s="20"/>
      <c r="T91" s="19"/>
    </row>
  </sheetData>
  <mergeCells count="90">
    <mergeCell ref="G21:G28"/>
    <mergeCell ref="H21:H26"/>
    <mergeCell ref="I21:I28"/>
    <mergeCell ref="K21:K28"/>
    <mergeCell ref="L21:L28"/>
    <mergeCell ref="M21:M28"/>
    <mergeCell ref="N21:N28"/>
    <mergeCell ref="O21:O28"/>
    <mergeCell ref="P21:P28"/>
    <mergeCell ref="Q21:Q28"/>
    <mergeCell ref="R21:R28"/>
    <mergeCell ref="S21:S28"/>
    <mergeCell ref="B4:C4"/>
    <mergeCell ref="B14:T14"/>
    <mergeCell ref="B17:C17"/>
    <mergeCell ref="B21:B28"/>
    <mergeCell ref="D21:D28"/>
    <mergeCell ref="E21:E28"/>
    <mergeCell ref="F21:F26"/>
    <mergeCell ref="F35:F41"/>
    <mergeCell ref="E36:E41"/>
    <mergeCell ref="B48:B52"/>
    <mergeCell ref="F48:F52"/>
    <mergeCell ref="G48:G52"/>
    <mergeCell ref="I48:I52"/>
    <mergeCell ref="K48:K52"/>
    <mergeCell ref="I53:K53"/>
    <mergeCell ref="H48:H52"/>
    <mergeCell ref="B53:H53"/>
    <mergeCell ref="B55:C55"/>
    <mergeCell ref="B60:H60"/>
    <mergeCell ref="I60:K60"/>
    <mergeCell ref="B62:C62"/>
    <mergeCell ref="B66:B67"/>
    <mergeCell ref="B71:H71"/>
    <mergeCell ref="I71:K71"/>
    <mergeCell ref="B72:H72"/>
    <mergeCell ref="I72:K72"/>
    <mergeCell ref="B74:F74"/>
    <mergeCell ref="B79:C79"/>
    <mergeCell ref="G80:G81"/>
    <mergeCell ref="G82:G83"/>
    <mergeCell ref="G84:G85"/>
    <mergeCell ref="G86:G87"/>
    <mergeCell ref="G88:G89"/>
    <mergeCell ref="G90:G91"/>
    <mergeCell ref="B80:C80"/>
    <mergeCell ref="B82:C82"/>
    <mergeCell ref="D82:F82"/>
    <mergeCell ref="B83:C83"/>
    <mergeCell ref="D83:F83"/>
    <mergeCell ref="B84:C84"/>
    <mergeCell ref="D84:F84"/>
    <mergeCell ref="B88:C88"/>
    <mergeCell ref="B89:C89"/>
    <mergeCell ref="B85:C85"/>
    <mergeCell ref="D85:F85"/>
    <mergeCell ref="B86:C86"/>
    <mergeCell ref="D86:F86"/>
    <mergeCell ref="B87:C87"/>
    <mergeCell ref="D87:F87"/>
    <mergeCell ref="D88:F88"/>
    <mergeCell ref="D89:F89"/>
    <mergeCell ref="P36:P41"/>
    <mergeCell ref="Q36:Q41"/>
    <mergeCell ref="H35:H41"/>
    <mergeCell ref="I35:I41"/>
    <mergeCell ref="S35:S41"/>
    <mergeCell ref="L36:L41"/>
    <mergeCell ref="M36:M41"/>
    <mergeCell ref="N36:N41"/>
    <mergeCell ref="O36:O41"/>
    <mergeCell ref="R36:R41"/>
    <mergeCell ref="B42:H42"/>
    <mergeCell ref="I42:K42"/>
    <mergeCell ref="B44:C44"/>
    <mergeCell ref="B29:H29"/>
    <mergeCell ref="I29:K29"/>
    <mergeCell ref="B31:C31"/>
    <mergeCell ref="B35:B41"/>
    <mergeCell ref="D35:D41"/>
    <mergeCell ref="G35:G41"/>
    <mergeCell ref="K35:K41"/>
    <mergeCell ref="D66:D67"/>
    <mergeCell ref="F66:F67"/>
    <mergeCell ref="G66:G67"/>
    <mergeCell ref="H66:H67"/>
    <mergeCell ref="S66:S67"/>
    <mergeCell ref="B68:H68"/>
    <mergeCell ref="I68:K6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2.63"/>
    <col customWidth="1" min="3" max="3" width="47.5"/>
    <col customWidth="1" min="4" max="4" width="19.75"/>
    <col customWidth="1" min="5" max="5" width="33.0"/>
    <col customWidth="1" min="6" max="6" width="33.63"/>
    <col customWidth="1" min="7" max="7" width="32.5"/>
    <col customWidth="1" min="8" max="8" width="31.25"/>
    <col customWidth="1" min="9" max="9" width="15.5"/>
    <col customWidth="1" min="10" max="10" width="1.75"/>
    <col customWidth="1" min="11" max="12" width="13.25"/>
    <col customWidth="1" min="13" max="14" width="23.5"/>
    <col customWidth="1" min="15" max="15" width="1.75"/>
    <col customWidth="1" min="16" max="19" width="21.5"/>
    <col customWidth="1" min="20" max="20" width="4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1"/>
      <c r="S1" s="1"/>
      <c r="T1" s="2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3"/>
      <c r="Q2" s="3"/>
      <c r="R2" s="1"/>
      <c r="S2" s="1"/>
      <c r="T2" s="2"/>
    </row>
    <row r="3" ht="15.75" customHeight="1">
      <c r="A3" s="1"/>
      <c r="B3" s="1"/>
      <c r="C3" s="1"/>
      <c r="D3" s="1"/>
      <c r="E3" s="4"/>
      <c r="F3" s="1"/>
      <c r="G3" s="5"/>
      <c r="H3" s="1"/>
      <c r="I3" s="1"/>
      <c r="J3" s="1"/>
      <c r="K3" s="1"/>
      <c r="L3" s="1"/>
      <c r="M3" s="1"/>
      <c r="N3" s="1"/>
      <c r="O3" s="2"/>
      <c r="P3" s="3"/>
      <c r="Q3" s="3"/>
      <c r="R3" s="1"/>
      <c r="S3" s="1"/>
      <c r="T3" s="2"/>
    </row>
    <row r="4" ht="15.75" customHeight="1">
      <c r="A4" s="1"/>
      <c r="B4" s="6"/>
      <c r="D4" s="7"/>
      <c r="E4" s="4"/>
      <c r="F4" s="1"/>
      <c r="G4" s="5"/>
      <c r="H4" s="1"/>
      <c r="I4" s="1"/>
      <c r="J4" s="1"/>
      <c r="K4" s="1"/>
      <c r="L4" s="1"/>
      <c r="M4" s="1"/>
      <c r="N4" s="1"/>
      <c r="O4" s="2"/>
      <c r="P4" s="3"/>
      <c r="Q4" s="3"/>
      <c r="R4" s="1"/>
      <c r="S4" s="1"/>
      <c r="T4" s="2"/>
    </row>
    <row r="5" ht="15.75" customHeight="1">
      <c r="A5" s="1"/>
      <c r="B5" s="1"/>
      <c r="C5" s="1"/>
      <c r="D5" s="1"/>
      <c r="E5" s="4"/>
      <c r="F5" s="1"/>
      <c r="G5" s="5"/>
      <c r="H5" s="5"/>
      <c r="I5" s="1"/>
      <c r="J5" s="1"/>
      <c r="K5" s="1"/>
      <c r="L5" s="1"/>
      <c r="M5" s="1"/>
      <c r="N5" s="1"/>
      <c r="O5" s="2"/>
      <c r="P5" s="3"/>
      <c r="Q5" s="3"/>
      <c r="R5" s="1"/>
      <c r="S5" s="1"/>
      <c r="T5" s="2"/>
    </row>
    <row r="6" ht="15.75" customHeight="1">
      <c r="A6" s="1"/>
      <c r="B6" s="8" t="s">
        <v>0</v>
      </c>
      <c r="C6" s="9" t="s">
        <v>1</v>
      </c>
      <c r="D6" s="1"/>
      <c r="E6" s="4"/>
      <c r="F6" s="1"/>
      <c r="G6" s="5"/>
      <c r="H6" s="1"/>
      <c r="I6" s="1"/>
      <c r="J6" s="1"/>
      <c r="K6" s="1"/>
      <c r="L6" s="1"/>
      <c r="M6" s="1"/>
      <c r="N6" s="1"/>
      <c r="O6" s="2"/>
      <c r="P6" s="3"/>
      <c r="Q6" s="3"/>
      <c r="R6" s="1"/>
      <c r="S6" s="1"/>
      <c r="T6" s="2"/>
    </row>
    <row r="7" ht="15.75" customHeight="1">
      <c r="A7" s="1"/>
      <c r="B7" s="8" t="s">
        <v>2</v>
      </c>
      <c r="C7" s="10" t="s">
        <v>3</v>
      </c>
      <c r="D7" s="1"/>
      <c r="E7" s="4"/>
      <c r="F7" s="1"/>
      <c r="G7" s="5"/>
      <c r="H7" s="1"/>
      <c r="I7" s="1"/>
      <c r="J7" s="1"/>
      <c r="K7" s="1"/>
      <c r="L7" s="1"/>
      <c r="M7" s="1"/>
      <c r="N7" s="1"/>
      <c r="O7" s="2"/>
      <c r="P7" s="3"/>
      <c r="Q7" s="3"/>
      <c r="R7" s="1"/>
      <c r="S7" s="1"/>
      <c r="T7" s="2"/>
    </row>
    <row r="8" ht="15.75" customHeight="1">
      <c r="A8" s="1"/>
      <c r="B8" s="8" t="s">
        <v>4</v>
      </c>
      <c r="C8" s="11" t="s">
        <v>5</v>
      </c>
      <c r="D8" s="1"/>
      <c r="E8" s="4"/>
      <c r="F8" s="1"/>
      <c r="G8" s="5"/>
      <c r="H8" s="1"/>
      <c r="I8" s="1"/>
      <c r="J8" s="1"/>
      <c r="K8" s="1"/>
      <c r="L8" s="1"/>
      <c r="M8" s="1"/>
      <c r="N8" s="1"/>
      <c r="O8" s="2"/>
      <c r="P8" s="3"/>
      <c r="Q8" s="3"/>
      <c r="R8" s="1"/>
      <c r="S8" s="1"/>
      <c r="T8" s="2"/>
    </row>
    <row r="9">
      <c r="A9" s="1"/>
      <c r="B9" s="8" t="s">
        <v>7</v>
      </c>
      <c r="C9" s="12">
        <f t="shared" ref="C9:C10" si="1">N69</f>
        <v>120000</v>
      </c>
      <c r="D9" s="1"/>
      <c r="E9" s="4"/>
      <c r="F9" s="1"/>
      <c r="G9" s="1"/>
      <c r="H9" s="1"/>
      <c r="I9" s="1"/>
      <c r="J9" s="1"/>
      <c r="K9" s="1"/>
      <c r="L9" s="1"/>
      <c r="M9" s="1"/>
      <c r="N9" s="1"/>
      <c r="O9" s="3"/>
      <c r="P9" s="3"/>
      <c r="Q9" s="3"/>
      <c r="R9" s="1"/>
      <c r="S9" s="1"/>
      <c r="T9" s="3"/>
    </row>
    <row r="10">
      <c r="A10" s="1"/>
      <c r="B10" s="8" t="s">
        <v>9</v>
      </c>
      <c r="C10" s="12">
        <f t="shared" si="1"/>
        <v>30000</v>
      </c>
      <c r="D10" s="1"/>
      <c r="E10" s="4"/>
      <c r="F10" s="1"/>
      <c r="G10" s="1"/>
      <c r="H10" s="1"/>
      <c r="I10" s="1"/>
      <c r="J10" s="1"/>
      <c r="K10" s="1"/>
      <c r="L10" s="1"/>
      <c r="M10" s="1"/>
      <c r="N10" s="1"/>
      <c r="O10" s="3"/>
      <c r="P10" s="3"/>
      <c r="Q10" s="3"/>
      <c r="R10" s="1"/>
      <c r="S10" s="1"/>
      <c r="T10" s="3"/>
    </row>
    <row r="11" ht="15.75" customHeight="1">
      <c r="A11" s="1"/>
      <c r="B11" s="1"/>
      <c r="C11" s="1"/>
      <c r="D11" s="1"/>
      <c r="E11" s="4"/>
      <c r="F11" s="1"/>
      <c r="G11" s="1"/>
      <c r="H11" s="1"/>
      <c r="I11" s="1"/>
      <c r="J11" s="1"/>
      <c r="K11" s="1"/>
      <c r="L11" s="1"/>
      <c r="M11" s="1"/>
      <c r="N11" s="1"/>
      <c r="O11" s="2"/>
      <c r="P11" s="3"/>
      <c r="Q11" s="3"/>
      <c r="R11" s="1"/>
      <c r="S11" s="1"/>
      <c r="T11" s="2"/>
    </row>
    <row r="12" ht="15.75" customHeight="1">
      <c r="A12" s="1"/>
      <c r="B12" s="15" t="s">
        <v>10</v>
      </c>
    </row>
    <row r="13" ht="15.75" customHeight="1">
      <c r="A13" s="1"/>
      <c r="B13" s="1"/>
      <c r="C13" s="1"/>
      <c r="D13" s="1"/>
      <c r="E13" s="4"/>
      <c r="F13" s="1"/>
      <c r="G13" s="1"/>
      <c r="H13" s="1"/>
      <c r="I13" s="1"/>
      <c r="J13" s="1"/>
      <c r="K13" s="1"/>
      <c r="L13" s="1"/>
      <c r="M13" s="1"/>
      <c r="N13" s="1"/>
      <c r="O13" s="2"/>
      <c r="P13" s="3"/>
      <c r="Q13" s="3"/>
      <c r="R13" s="1"/>
      <c r="S13" s="1"/>
      <c r="T13" s="2"/>
    </row>
    <row r="14" ht="15.75" customHeight="1">
      <c r="A14" s="1"/>
      <c r="B14" s="16"/>
      <c r="C14" s="16"/>
      <c r="D14" s="17"/>
      <c r="E14" s="7"/>
      <c r="F14" s="1"/>
      <c r="G14" s="1"/>
      <c r="H14" s="17"/>
      <c r="I14" s="17"/>
      <c r="J14" s="18"/>
      <c r="K14" s="18"/>
      <c r="L14" s="18"/>
      <c r="M14" s="18"/>
      <c r="N14" s="18"/>
      <c r="O14" s="19"/>
      <c r="P14" s="20"/>
      <c r="Q14" s="20"/>
      <c r="R14" s="17"/>
      <c r="S14" s="17"/>
      <c r="T14" s="19"/>
    </row>
    <row r="15" ht="15.75" customHeight="1">
      <c r="A15" s="1"/>
      <c r="B15" s="21" t="s">
        <v>13</v>
      </c>
      <c r="D15" s="17"/>
      <c r="E15" s="7"/>
      <c r="F15" s="1"/>
      <c r="G15" s="1"/>
      <c r="H15" s="17"/>
      <c r="I15" s="17"/>
      <c r="J15" s="18"/>
      <c r="K15" s="18"/>
      <c r="L15" s="18"/>
      <c r="M15" s="18"/>
      <c r="N15" s="18"/>
      <c r="O15" s="19"/>
      <c r="P15" s="20"/>
      <c r="Q15" s="20"/>
      <c r="R15" s="17"/>
      <c r="S15" s="17"/>
      <c r="T15" s="19"/>
    </row>
    <row r="16" ht="7.5" customHeight="1">
      <c r="A16" s="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22"/>
      <c r="P16" s="3"/>
      <c r="Q16" s="3"/>
      <c r="R16" s="1"/>
      <c r="S16" s="1"/>
      <c r="T16" s="22"/>
    </row>
    <row r="17" ht="15.75" customHeight="1">
      <c r="A17" s="1"/>
      <c r="B17" s="23" t="s">
        <v>14</v>
      </c>
      <c r="C17" s="23" t="s">
        <v>15</v>
      </c>
      <c r="D17" s="23" t="s">
        <v>16</v>
      </c>
      <c r="E17" s="23" t="s">
        <v>17</v>
      </c>
      <c r="F17" s="23" t="s">
        <v>18</v>
      </c>
      <c r="G17" s="23" t="s">
        <v>19</v>
      </c>
      <c r="H17" s="23" t="s">
        <v>20</v>
      </c>
      <c r="I17" s="24" t="s">
        <v>21</v>
      </c>
      <c r="J17" s="18"/>
      <c r="K17" s="23" t="s">
        <v>22</v>
      </c>
      <c r="L17" s="25" t="s">
        <v>23</v>
      </c>
      <c r="M17" s="26" t="s">
        <v>24</v>
      </c>
      <c r="N17" s="26" t="s">
        <v>25</v>
      </c>
      <c r="O17" s="27"/>
      <c r="P17" s="28" t="s">
        <v>26</v>
      </c>
      <c r="Q17" s="29" t="s">
        <v>27</v>
      </c>
      <c r="R17" s="23" t="s">
        <v>28</v>
      </c>
      <c r="S17" s="23" t="s">
        <v>29</v>
      </c>
      <c r="T17" s="27"/>
    </row>
    <row r="18" ht="7.5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22"/>
      <c r="M18" s="22"/>
      <c r="N18" s="22"/>
      <c r="O18" s="22"/>
      <c r="P18" s="6"/>
      <c r="Q18" s="30"/>
      <c r="R18" s="1"/>
      <c r="S18" s="1"/>
      <c r="T18" s="22"/>
    </row>
    <row r="19" ht="28.5" customHeight="1">
      <c r="A19" s="1"/>
      <c r="B19" s="31" t="s">
        <v>30</v>
      </c>
      <c r="C19" s="32" t="s">
        <v>31</v>
      </c>
      <c r="D19" s="33" t="s">
        <v>32</v>
      </c>
      <c r="E19" s="34" t="s">
        <v>33</v>
      </c>
      <c r="F19" s="34" t="s">
        <v>34</v>
      </c>
      <c r="G19" s="34" t="s">
        <v>35</v>
      </c>
      <c r="H19" s="34" t="s">
        <v>36</v>
      </c>
      <c r="I19" s="34">
        <v>4.0</v>
      </c>
      <c r="J19" s="35"/>
      <c r="K19" s="36" t="s">
        <v>37</v>
      </c>
      <c r="L19" s="37">
        <v>10.8</v>
      </c>
      <c r="M19" s="38">
        <f>N19/80%</f>
        <v>150000</v>
      </c>
      <c r="N19" s="38">
        <v>120000.0</v>
      </c>
      <c r="O19" s="39"/>
      <c r="P19" s="40">
        <f>N19/L19*1000</f>
        <v>11111111.11</v>
      </c>
      <c r="Q19" s="41">
        <v>0.003</v>
      </c>
      <c r="R19" s="42">
        <f>P19*Q19</f>
        <v>33333.33333</v>
      </c>
      <c r="S19" s="43">
        <v>0.7</v>
      </c>
      <c r="T19" s="39"/>
    </row>
    <row r="20" ht="28.5" customHeight="1">
      <c r="A20" s="1"/>
      <c r="B20" s="44"/>
      <c r="C20" s="45" t="s">
        <v>38</v>
      </c>
      <c r="D20" s="44"/>
      <c r="E20" s="44"/>
      <c r="F20" s="44"/>
      <c r="G20" s="44"/>
      <c r="H20" s="44"/>
      <c r="I20" s="44"/>
      <c r="J20" s="35"/>
      <c r="K20" s="46"/>
      <c r="L20" s="47"/>
      <c r="M20" s="48"/>
      <c r="N20" s="48"/>
      <c r="P20" s="44"/>
      <c r="R20" s="48"/>
      <c r="S20" s="49"/>
      <c r="T20" s="39"/>
    </row>
    <row r="21" ht="28.5" customHeight="1">
      <c r="A21" s="1"/>
      <c r="B21" s="44"/>
      <c r="C21" s="45" t="s">
        <v>39</v>
      </c>
      <c r="D21" s="44"/>
      <c r="E21" s="44"/>
      <c r="F21" s="44"/>
      <c r="G21" s="44"/>
      <c r="H21" s="44"/>
      <c r="I21" s="44"/>
      <c r="J21" s="35"/>
      <c r="K21" s="46"/>
      <c r="L21" s="47"/>
      <c r="M21" s="48"/>
      <c r="N21" s="48"/>
      <c r="P21" s="44"/>
      <c r="R21" s="48"/>
      <c r="S21" s="49"/>
      <c r="T21" s="39"/>
    </row>
    <row r="22" ht="28.5" customHeight="1">
      <c r="A22" s="1"/>
      <c r="B22" s="44"/>
      <c r="C22" s="45" t="s">
        <v>40</v>
      </c>
      <c r="D22" s="44"/>
      <c r="E22" s="44"/>
      <c r="F22" s="44"/>
      <c r="G22" s="44"/>
      <c r="H22" s="44"/>
      <c r="I22" s="44"/>
      <c r="J22" s="35"/>
      <c r="K22" s="46"/>
      <c r="L22" s="47"/>
      <c r="M22" s="48"/>
      <c r="N22" s="48"/>
      <c r="P22" s="44"/>
      <c r="R22" s="48"/>
      <c r="S22" s="49"/>
      <c r="T22" s="39"/>
    </row>
    <row r="23" ht="28.5" customHeight="1">
      <c r="A23" s="1"/>
      <c r="B23" s="44"/>
      <c r="C23" s="45" t="s">
        <v>41</v>
      </c>
      <c r="D23" s="44"/>
      <c r="E23" s="44"/>
      <c r="F23" s="44"/>
      <c r="G23" s="44"/>
      <c r="H23" s="44"/>
      <c r="I23" s="44"/>
      <c r="J23" s="35"/>
      <c r="K23" s="46"/>
      <c r="L23" s="47"/>
      <c r="M23" s="48"/>
      <c r="N23" s="48"/>
      <c r="P23" s="44"/>
      <c r="R23" s="48"/>
      <c r="S23" s="49"/>
      <c r="T23" s="39"/>
    </row>
    <row r="24" ht="28.5" customHeight="1">
      <c r="A24" s="1"/>
      <c r="B24" s="44"/>
      <c r="C24" s="45" t="s">
        <v>42</v>
      </c>
      <c r="D24" s="44"/>
      <c r="E24" s="44"/>
      <c r="F24" s="44"/>
      <c r="G24" s="44"/>
      <c r="H24" s="44"/>
      <c r="I24" s="44"/>
      <c r="J24" s="35"/>
      <c r="K24" s="46"/>
      <c r="L24" s="47"/>
      <c r="M24" s="48"/>
      <c r="N24" s="48"/>
      <c r="P24" s="44"/>
      <c r="R24" s="48"/>
      <c r="S24" s="49"/>
      <c r="T24" s="39"/>
    </row>
    <row r="25" ht="32.25" customHeight="1">
      <c r="A25" s="1"/>
      <c r="B25" s="44"/>
      <c r="C25" s="45" t="s">
        <v>43</v>
      </c>
      <c r="D25" s="44"/>
      <c r="E25" s="44"/>
      <c r="F25" s="34" t="s">
        <v>44</v>
      </c>
      <c r="G25" s="44"/>
      <c r="H25" s="34" t="s">
        <v>45</v>
      </c>
      <c r="I25" s="44"/>
      <c r="J25" s="35"/>
      <c r="K25" s="46"/>
      <c r="L25" s="47"/>
      <c r="M25" s="48"/>
      <c r="N25" s="48"/>
      <c r="P25" s="44"/>
      <c r="R25" s="48"/>
      <c r="S25" s="49"/>
      <c r="T25" s="39"/>
    </row>
    <row r="26" ht="32.25" customHeight="1">
      <c r="A26" s="50"/>
      <c r="B26" s="51"/>
      <c r="C26" s="52" t="s">
        <v>46</v>
      </c>
      <c r="D26" s="51"/>
      <c r="E26" s="51"/>
      <c r="F26" s="53" t="s">
        <v>47</v>
      </c>
      <c r="G26" s="51"/>
      <c r="H26" s="53" t="s">
        <v>45</v>
      </c>
      <c r="I26" s="51"/>
      <c r="J26" s="54"/>
      <c r="K26" s="55"/>
      <c r="L26" s="56"/>
      <c r="M26" s="48"/>
      <c r="N26" s="48"/>
      <c r="P26" s="44"/>
      <c r="R26" s="48"/>
      <c r="S26" s="49"/>
      <c r="T26" s="57"/>
    </row>
    <row r="27" ht="15.75" customHeight="1">
      <c r="A27" s="58"/>
      <c r="B27" s="59"/>
      <c r="C27" s="60"/>
      <c r="D27" s="60"/>
      <c r="E27" s="60"/>
      <c r="F27" s="60"/>
      <c r="G27" s="60"/>
      <c r="H27" s="61"/>
      <c r="I27" s="24"/>
      <c r="J27" s="60"/>
      <c r="K27" s="61"/>
      <c r="L27" s="25">
        <f>N27/P27*1000</f>
        <v>10.8</v>
      </c>
      <c r="M27" s="25">
        <f t="shared" ref="M27:N27" si="2">SUM(M19:M26)</f>
        <v>150000</v>
      </c>
      <c r="N27" s="25">
        <f t="shared" si="2"/>
        <v>120000</v>
      </c>
      <c r="O27" s="62"/>
      <c r="P27" s="63">
        <f>SUM(P19:P26)</f>
        <v>11111111.11</v>
      </c>
      <c r="Q27" s="64">
        <f>MEDIAN(Q19:Q26)</f>
        <v>0.003</v>
      </c>
      <c r="R27" s="63">
        <f t="shared" ref="R27:S27" si="3">SUM(R19:R26)</f>
        <v>33333.33333</v>
      </c>
      <c r="S27" s="65">
        <f t="shared" si="3"/>
        <v>0.7</v>
      </c>
      <c r="T27" s="62"/>
    </row>
    <row r="28" ht="15.75" customHeight="1">
      <c r="A28" s="1"/>
      <c r="B28" s="66"/>
      <c r="C28" s="66"/>
      <c r="D28" s="18"/>
      <c r="E28" s="7"/>
      <c r="F28" s="1"/>
      <c r="G28" s="1"/>
      <c r="H28" s="18"/>
      <c r="I28" s="18"/>
      <c r="J28" s="18"/>
      <c r="K28" s="18"/>
      <c r="L28" s="18"/>
      <c r="M28" s="18"/>
      <c r="N28" s="18"/>
      <c r="O28" s="19"/>
      <c r="P28" s="67"/>
      <c r="Q28" s="67"/>
      <c r="R28" s="18"/>
      <c r="S28" s="18"/>
      <c r="T28" s="19"/>
    </row>
    <row r="29" ht="15.75" customHeight="1">
      <c r="A29" s="1"/>
      <c r="B29" s="68" t="s">
        <v>48</v>
      </c>
      <c r="D29" s="17"/>
      <c r="E29" s="7"/>
      <c r="F29" s="1"/>
      <c r="G29" s="1"/>
      <c r="H29" s="17"/>
      <c r="I29" s="17"/>
      <c r="J29" s="18"/>
      <c r="K29" s="18"/>
      <c r="L29" s="18"/>
      <c r="M29" s="18"/>
      <c r="N29" s="18"/>
      <c r="O29" s="19"/>
      <c r="P29" s="20"/>
      <c r="Q29" s="20"/>
      <c r="R29" s="17"/>
      <c r="S29" s="17"/>
      <c r="T29" s="19"/>
    </row>
    <row r="30" ht="7.5" customHeight="1">
      <c r="A30" s="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22"/>
      <c r="P30" s="3"/>
      <c r="Q30" s="3"/>
      <c r="R30" s="1"/>
      <c r="S30" s="1"/>
      <c r="T30" s="22"/>
    </row>
    <row r="31" ht="15.75" customHeight="1">
      <c r="A31" s="1"/>
      <c r="B31" s="23" t="s">
        <v>14</v>
      </c>
      <c r="C31" s="23" t="s">
        <v>15</v>
      </c>
      <c r="D31" s="23" t="s">
        <v>16</v>
      </c>
      <c r="E31" s="23" t="s">
        <v>17</v>
      </c>
      <c r="F31" s="23" t="s">
        <v>18</v>
      </c>
      <c r="G31" s="23" t="s">
        <v>19</v>
      </c>
      <c r="H31" s="23" t="s">
        <v>20</v>
      </c>
      <c r="I31" s="24" t="s">
        <v>21</v>
      </c>
      <c r="J31" s="18"/>
      <c r="K31" s="23" t="s">
        <v>22</v>
      </c>
      <c r="L31" s="25" t="s">
        <v>23</v>
      </c>
      <c r="M31" s="26" t="s">
        <v>24</v>
      </c>
      <c r="N31" s="26" t="s">
        <v>25</v>
      </c>
      <c r="O31" s="27"/>
      <c r="P31" s="69" t="s">
        <v>26</v>
      </c>
      <c r="Q31" s="8" t="s">
        <v>49</v>
      </c>
      <c r="R31" s="8" t="s">
        <v>50</v>
      </c>
      <c r="S31" s="23" t="s">
        <v>29</v>
      </c>
      <c r="T31" s="27"/>
    </row>
    <row r="32" ht="7.5" customHeight="1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22"/>
      <c r="M32" s="22"/>
      <c r="N32" s="22"/>
      <c r="O32" s="22"/>
      <c r="P32" s="6"/>
      <c r="Q32" s="30"/>
      <c r="R32" s="30"/>
      <c r="S32" s="1"/>
      <c r="T32" s="22"/>
    </row>
    <row r="33" ht="27.75" customHeight="1">
      <c r="A33" s="50"/>
      <c r="B33" s="71" t="s">
        <v>30</v>
      </c>
      <c r="C33" s="70" t="s">
        <v>51</v>
      </c>
      <c r="D33" s="73" t="s">
        <v>32</v>
      </c>
      <c r="E33" s="53" t="s">
        <v>52</v>
      </c>
      <c r="F33" s="53" t="str">
        <f t="shared" ref="F33:I33" si="4">F19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33" s="53" t="str">
        <f t="shared" si="4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33" s="53" t="str">
        <f t="shared" si="4"/>
        <v>Brasil</v>
      </c>
      <c r="I33" s="53">
        <f t="shared" si="4"/>
        <v>4</v>
      </c>
      <c r="J33" s="54"/>
      <c r="K33" s="78" t="s">
        <v>37</v>
      </c>
      <c r="L33" s="77">
        <v>40.0</v>
      </c>
      <c r="M33" s="80">
        <f t="shared" ref="M33:M34" si="5">N33/80%</f>
        <v>0</v>
      </c>
      <c r="N33" s="80">
        <v>0.0</v>
      </c>
      <c r="O33" s="57"/>
      <c r="P33" s="81">
        <f t="shared" ref="P33:P34" si="6">N33/L33*1000</f>
        <v>0</v>
      </c>
      <c r="Q33" s="82">
        <v>0.9</v>
      </c>
      <c r="R33" s="81">
        <f t="shared" ref="R33:R34" si="7">P33*Q33</f>
        <v>0</v>
      </c>
      <c r="S33" s="83">
        <v>0.7</v>
      </c>
      <c r="T33" s="57"/>
    </row>
    <row r="34" ht="27.75" customHeight="1">
      <c r="A34" s="50"/>
      <c r="B34" s="44"/>
      <c r="C34" s="70" t="s">
        <v>31</v>
      </c>
      <c r="D34" s="44"/>
      <c r="E34" s="53" t="s">
        <v>53</v>
      </c>
      <c r="F34" s="44"/>
      <c r="G34" s="44"/>
      <c r="H34" s="44"/>
      <c r="I34" s="44"/>
      <c r="J34" s="54"/>
      <c r="K34" s="46"/>
      <c r="L34" s="77">
        <v>24.0</v>
      </c>
      <c r="M34" s="80">
        <f t="shared" si="5"/>
        <v>0</v>
      </c>
      <c r="N34" s="80">
        <v>0.0</v>
      </c>
      <c r="O34" s="57"/>
      <c r="P34" s="81">
        <f t="shared" si="6"/>
        <v>0</v>
      </c>
      <c r="Q34" s="83">
        <v>0.4</v>
      </c>
      <c r="R34" s="81">
        <f t="shared" si="7"/>
        <v>0</v>
      </c>
      <c r="S34" s="48"/>
      <c r="T34" s="57"/>
    </row>
    <row r="35" ht="27.75" customHeight="1">
      <c r="A35" s="50"/>
      <c r="B35" s="44"/>
      <c r="C35" s="52" t="s">
        <v>38</v>
      </c>
      <c r="D35" s="44"/>
      <c r="E35" s="44"/>
      <c r="F35" s="44"/>
      <c r="G35" s="44"/>
      <c r="H35" s="44"/>
      <c r="I35" s="44"/>
      <c r="J35" s="54"/>
      <c r="K35" s="46"/>
      <c r="L35" s="47"/>
      <c r="M35" s="84"/>
      <c r="N35" s="84"/>
      <c r="P35" s="46"/>
      <c r="Q35" s="48"/>
      <c r="R35" s="46"/>
      <c r="S35" s="48"/>
      <c r="T35" s="57"/>
    </row>
    <row r="36" ht="27.75" customHeight="1">
      <c r="A36" s="50"/>
      <c r="B36" s="44"/>
      <c r="C36" s="52" t="s">
        <v>39</v>
      </c>
      <c r="D36" s="44"/>
      <c r="E36" s="44"/>
      <c r="F36" s="44"/>
      <c r="G36" s="44"/>
      <c r="H36" s="44"/>
      <c r="I36" s="44"/>
      <c r="J36" s="54"/>
      <c r="K36" s="46"/>
      <c r="L36" s="47"/>
      <c r="M36" s="84"/>
      <c r="N36" s="84"/>
      <c r="P36" s="46"/>
      <c r="Q36" s="48"/>
      <c r="R36" s="46"/>
      <c r="S36" s="48"/>
      <c r="T36" s="57"/>
    </row>
    <row r="37" ht="27.75" customHeight="1">
      <c r="A37" s="50"/>
      <c r="B37" s="44"/>
      <c r="C37" s="52" t="s">
        <v>40</v>
      </c>
      <c r="D37" s="44"/>
      <c r="E37" s="44"/>
      <c r="F37" s="44"/>
      <c r="G37" s="44"/>
      <c r="H37" s="44"/>
      <c r="I37" s="44"/>
      <c r="J37" s="54"/>
      <c r="K37" s="46"/>
      <c r="L37" s="47"/>
      <c r="M37" s="84"/>
      <c r="N37" s="84"/>
      <c r="P37" s="46"/>
      <c r="Q37" s="48"/>
      <c r="R37" s="46"/>
      <c r="S37" s="48"/>
      <c r="T37" s="57"/>
    </row>
    <row r="38" ht="27.75" customHeight="1">
      <c r="A38" s="50"/>
      <c r="B38" s="44"/>
      <c r="C38" s="52" t="s">
        <v>41</v>
      </c>
      <c r="D38" s="44"/>
      <c r="E38" s="44"/>
      <c r="F38" s="44"/>
      <c r="G38" s="44"/>
      <c r="H38" s="44"/>
      <c r="I38" s="44"/>
      <c r="J38" s="54"/>
      <c r="K38" s="46"/>
      <c r="L38" s="47"/>
      <c r="M38" s="84"/>
      <c r="N38" s="84"/>
      <c r="P38" s="46"/>
      <c r="Q38" s="48"/>
      <c r="R38" s="46"/>
      <c r="S38" s="48"/>
      <c r="T38" s="57"/>
    </row>
    <row r="39" ht="27.75" customHeight="1">
      <c r="A39" s="50"/>
      <c r="B39" s="51"/>
      <c r="C39" s="52" t="s">
        <v>42</v>
      </c>
      <c r="D39" s="51"/>
      <c r="E39" s="51"/>
      <c r="F39" s="51"/>
      <c r="G39" s="51"/>
      <c r="H39" s="51"/>
      <c r="I39" s="51"/>
      <c r="J39" s="54"/>
      <c r="K39" s="55"/>
      <c r="L39" s="56"/>
      <c r="M39" s="84"/>
      <c r="N39" s="84"/>
      <c r="P39" s="46"/>
      <c r="Q39" s="85"/>
      <c r="R39" s="46"/>
      <c r="S39" s="85"/>
      <c r="T39" s="57"/>
    </row>
    <row r="40" ht="15.75" customHeight="1">
      <c r="A40" s="58"/>
      <c r="B40" s="59"/>
      <c r="C40" s="60"/>
      <c r="D40" s="60"/>
      <c r="E40" s="60"/>
      <c r="F40" s="60"/>
      <c r="G40" s="60"/>
      <c r="H40" s="61"/>
      <c r="I40" s="86"/>
      <c r="J40" s="87"/>
      <c r="K40" s="88"/>
      <c r="L40" s="25" t="str">
        <f>N40/P40*1000</f>
        <v>#DIV/0!</v>
      </c>
      <c r="M40" s="25">
        <f t="shared" ref="M40:N40" si="8">SUM(M33:M39)</f>
        <v>0</v>
      </c>
      <c r="N40" s="25">
        <f t="shared" si="8"/>
        <v>0</v>
      </c>
      <c r="O40" s="62"/>
      <c r="P40" s="63">
        <f>SUM(P33:P39)</f>
        <v>0</v>
      </c>
      <c r="Q40" s="89" t="str">
        <f>R40/P40</f>
        <v>#DIV/0!</v>
      </c>
      <c r="R40" s="63">
        <f>SUM(R33:R39)</f>
        <v>0</v>
      </c>
      <c r="S40" s="90">
        <f>S33</f>
        <v>0.7</v>
      </c>
      <c r="T40" s="62"/>
    </row>
    <row r="41">
      <c r="A41" s="1"/>
      <c r="B41" s="91"/>
      <c r="C41" s="5"/>
      <c r="D41" s="1"/>
      <c r="E41" s="1"/>
      <c r="F41" s="5"/>
      <c r="G41" s="5"/>
      <c r="H41" s="5"/>
      <c r="I41" s="5"/>
      <c r="J41" s="35"/>
      <c r="K41" s="1"/>
      <c r="L41" s="39"/>
      <c r="M41" s="39"/>
      <c r="N41" s="39"/>
      <c r="O41" s="39"/>
      <c r="P41" s="35"/>
      <c r="Q41" s="92"/>
      <c r="R41" s="35"/>
      <c r="S41" s="93"/>
      <c r="T41" s="39"/>
    </row>
    <row r="42" ht="15.75" customHeight="1">
      <c r="A42" s="1"/>
      <c r="B42" s="68" t="s">
        <v>54</v>
      </c>
      <c r="D42" s="17"/>
      <c r="E42" s="7"/>
      <c r="F42" s="1"/>
      <c r="G42" s="1"/>
      <c r="H42" s="17"/>
      <c r="I42" s="17"/>
      <c r="J42" s="18"/>
      <c r="K42" s="18"/>
      <c r="L42" s="18"/>
      <c r="M42" s="18"/>
      <c r="N42" s="18"/>
      <c r="O42" s="19"/>
      <c r="P42" s="20"/>
      <c r="Q42" s="20"/>
      <c r="R42" s="17"/>
      <c r="S42" s="17"/>
      <c r="T42" s="19"/>
    </row>
    <row r="43" ht="7.5" customHeight="1">
      <c r="A43" s="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22"/>
      <c r="P43" s="3"/>
      <c r="Q43" s="3"/>
      <c r="R43" s="1"/>
      <c r="S43" s="1"/>
      <c r="T43" s="22"/>
    </row>
    <row r="44" ht="15.75" customHeight="1">
      <c r="A44" s="1"/>
      <c r="B44" s="23" t="s">
        <v>14</v>
      </c>
      <c r="C44" s="23" t="s">
        <v>15</v>
      </c>
      <c r="D44" s="23" t="s">
        <v>16</v>
      </c>
      <c r="E44" s="23" t="s">
        <v>17</v>
      </c>
      <c r="F44" s="23" t="s">
        <v>18</v>
      </c>
      <c r="G44" s="23" t="s">
        <v>19</v>
      </c>
      <c r="H44" s="23" t="s">
        <v>20</v>
      </c>
      <c r="I44" s="24" t="s">
        <v>21</v>
      </c>
      <c r="J44" s="18"/>
      <c r="K44" s="23" t="s">
        <v>22</v>
      </c>
      <c r="L44" s="25" t="s">
        <v>23</v>
      </c>
      <c r="M44" s="26" t="s">
        <v>24</v>
      </c>
      <c r="N44" s="26" t="s">
        <v>25</v>
      </c>
      <c r="O44" s="27"/>
      <c r="P44" s="28" t="s">
        <v>26</v>
      </c>
      <c r="Q44" s="29" t="s">
        <v>27</v>
      </c>
      <c r="R44" s="23" t="s">
        <v>28</v>
      </c>
      <c r="S44" s="23" t="s">
        <v>29</v>
      </c>
      <c r="T44" s="27"/>
    </row>
    <row r="45" ht="7.5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22"/>
      <c r="M45" s="22"/>
      <c r="N45" s="22"/>
      <c r="O45" s="22"/>
      <c r="P45" s="6"/>
      <c r="Q45" s="30"/>
      <c r="R45" s="1"/>
      <c r="S45" s="1"/>
      <c r="T45" s="22"/>
    </row>
    <row r="46" ht="25.5" customHeight="1">
      <c r="A46" s="50"/>
      <c r="B46" s="71" t="s">
        <v>30</v>
      </c>
      <c r="C46" s="98" t="s">
        <v>55</v>
      </c>
      <c r="D46" s="53" t="s">
        <v>56</v>
      </c>
      <c r="E46" s="99" t="s">
        <v>57</v>
      </c>
      <c r="F46" s="53" t="str">
        <f t="shared" ref="F46:I46" si="9">F19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46" s="53" t="str">
        <f t="shared" si="9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46" s="53" t="str">
        <f t="shared" si="9"/>
        <v>Brasil</v>
      </c>
      <c r="I46" s="53">
        <f t="shared" si="9"/>
        <v>4</v>
      </c>
      <c r="J46" s="54"/>
      <c r="K46" s="78" t="s">
        <v>37</v>
      </c>
      <c r="L46" s="100">
        <v>203.0</v>
      </c>
      <c r="M46" s="101">
        <f t="shared" ref="M46:M50" si="10">N46/80%</f>
        <v>0</v>
      </c>
      <c r="N46" s="101">
        <v>0.0</v>
      </c>
      <c r="O46" s="57"/>
      <c r="P46" s="102">
        <f t="shared" ref="P46:P50" si="11">N46/L46*1000</f>
        <v>0</v>
      </c>
      <c r="Q46" s="103">
        <v>0.0</v>
      </c>
      <c r="R46" s="104">
        <f t="shared" ref="R46:R50" si="12">P46*Q46</f>
        <v>0</v>
      </c>
      <c r="S46" s="82">
        <v>0.98</v>
      </c>
      <c r="T46" s="57"/>
    </row>
    <row r="47" ht="25.5" customHeight="1">
      <c r="A47" s="50"/>
      <c r="B47" s="44"/>
      <c r="C47" s="98" t="s">
        <v>58</v>
      </c>
      <c r="D47" s="53" t="s">
        <v>56</v>
      </c>
      <c r="E47" s="99" t="s">
        <v>57</v>
      </c>
      <c r="F47" s="44"/>
      <c r="G47" s="44"/>
      <c r="H47" s="44"/>
      <c r="I47" s="44"/>
      <c r="J47" s="54"/>
      <c r="K47" s="46"/>
      <c r="L47" s="100">
        <v>155.0</v>
      </c>
      <c r="M47" s="101">
        <f t="shared" si="10"/>
        <v>0</v>
      </c>
      <c r="N47" s="101">
        <v>0.0</v>
      </c>
      <c r="O47" s="57"/>
      <c r="P47" s="102">
        <f t="shared" si="11"/>
        <v>0</v>
      </c>
      <c r="Q47" s="103">
        <v>0.0</v>
      </c>
      <c r="R47" s="104">
        <f t="shared" si="12"/>
        <v>0</v>
      </c>
      <c r="S47" s="82">
        <v>0.98</v>
      </c>
      <c r="T47" s="57"/>
    </row>
    <row r="48" ht="25.5" customHeight="1">
      <c r="A48" s="50"/>
      <c r="B48" s="44"/>
      <c r="C48" s="98" t="s">
        <v>59</v>
      </c>
      <c r="D48" s="53" t="s">
        <v>56</v>
      </c>
      <c r="E48" s="99" t="s">
        <v>57</v>
      </c>
      <c r="F48" s="44"/>
      <c r="G48" s="44"/>
      <c r="H48" s="44"/>
      <c r="I48" s="44"/>
      <c r="J48" s="54"/>
      <c r="K48" s="46"/>
      <c r="L48" s="100">
        <v>177.0</v>
      </c>
      <c r="M48" s="101">
        <f t="shared" si="10"/>
        <v>0</v>
      </c>
      <c r="N48" s="101">
        <v>0.0</v>
      </c>
      <c r="O48" s="57"/>
      <c r="P48" s="102">
        <f t="shared" si="11"/>
        <v>0</v>
      </c>
      <c r="Q48" s="103">
        <v>0.0</v>
      </c>
      <c r="R48" s="104">
        <f t="shared" si="12"/>
        <v>0</v>
      </c>
      <c r="S48" s="82">
        <v>0.98</v>
      </c>
      <c r="T48" s="57"/>
    </row>
    <row r="49" ht="25.5" customHeight="1">
      <c r="A49" s="50"/>
      <c r="B49" s="44"/>
      <c r="C49" s="98" t="s">
        <v>60</v>
      </c>
      <c r="D49" s="53" t="s">
        <v>56</v>
      </c>
      <c r="E49" s="99" t="s">
        <v>57</v>
      </c>
      <c r="F49" s="44"/>
      <c r="G49" s="44"/>
      <c r="H49" s="44"/>
      <c r="I49" s="44"/>
      <c r="J49" s="54"/>
      <c r="K49" s="46"/>
      <c r="L49" s="100">
        <v>198.0</v>
      </c>
      <c r="M49" s="101">
        <f t="shared" si="10"/>
        <v>0</v>
      </c>
      <c r="N49" s="101">
        <v>0.0</v>
      </c>
      <c r="O49" s="57"/>
      <c r="P49" s="102">
        <f t="shared" si="11"/>
        <v>0</v>
      </c>
      <c r="Q49" s="103">
        <v>0.0</v>
      </c>
      <c r="R49" s="104">
        <f t="shared" si="12"/>
        <v>0</v>
      </c>
      <c r="S49" s="82">
        <v>0.98</v>
      </c>
      <c r="T49" s="57"/>
    </row>
    <row r="50" ht="25.5" customHeight="1">
      <c r="A50" s="50"/>
      <c r="B50" s="51"/>
      <c r="C50" s="98" t="s">
        <v>61</v>
      </c>
      <c r="D50" s="73" t="s">
        <v>32</v>
      </c>
      <c r="E50" s="99" t="s">
        <v>62</v>
      </c>
      <c r="F50" s="51"/>
      <c r="G50" s="51"/>
      <c r="H50" s="51"/>
      <c r="I50" s="51"/>
      <c r="J50" s="54"/>
      <c r="K50" s="55"/>
      <c r="L50" s="100">
        <v>25.0</v>
      </c>
      <c r="M50" s="101">
        <f t="shared" si="10"/>
        <v>0</v>
      </c>
      <c r="N50" s="101">
        <v>0.0</v>
      </c>
      <c r="O50" s="57"/>
      <c r="P50" s="102">
        <f t="shared" si="11"/>
        <v>0</v>
      </c>
      <c r="Q50" s="105">
        <v>0.01</v>
      </c>
      <c r="R50" s="104">
        <f t="shared" si="12"/>
        <v>0</v>
      </c>
      <c r="S50" s="82">
        <v>0.7</v>
      </c>
      <c r="T50" s="57"/>
    </row>
    <row r="51" ht="15.75" customHeight="1">
      <c r="A51" s="58"/>
      <c r="B51" s="59"/>
      <c r="C51" s="60"/>
      <c r="D51" s="60"/>
      <c r="E51" s="60"/>
      <c r="F51" s="60"/>
      <c r="G51" s="60"/>
      <c r="H51" s="61"/>
      <c r="I51" s="86"/>
      <c r="J51" s="87"/>
      <c r="K51" s="88"/>
      <c r="L51" s="25" t="str">
        <f>N51/P51*1000</f>
        <v>#DIV/0!</v>
      </c>
      <c r="M51" s="25">
        <f t="shared" ref="M51:N51" si="13">SUM(M46:M50)</f>
        <v>0</v>
      </c>
      <c r="N51" s="25">
        <f t="shared" si="13"/>
        <v>0</v>
      </c>
      <c r="O51" s="62"/>
      <c r="P51" s="63">
        <f>SUM(P46:P50)</f>
        <v>0</v>
      </c>
      <c r="Q51" s="107" t="s">
        <v>63</v>
      </c>
      <c r="R51" s="63">
        <f>SUM(R46:R50)</f>
        <v>0</v>
      </c>
      <c r="S51" s="108" t="s">
        <v>63</v>
      </c>
      <c r="T51" s="62"/>
    </row>
    <row r="52">
      <c r="A52" s="1"/>
      <c r="B52" s="91"/>
      <c r="C52" s="5"/>
      <c r="D52" s="1"/>
      <c r="E52" s="1"/>
      <c r="F52" s="5"/>
      <c r="G52" s="5"/>
      <c r="H52" s="5"/>
      <c r="I52" s="5"/>
      <c r="J52" s="35"/>
      <c r="K52" s="1"/>
      <c r="L52" s="39"/>
      <c r="M52" s="39"/>
      <c r="N52" s="39"/>
      <c r="O52" s="39"/>
      <c r="P52" s="35"/>
      <c r="Q52" s="92"/>
      <c r="R52" s="35"/>
      <c r="S52" s="93"/>
      <c r="T52" s="39"/>
    </row>
    <row r="53" ht="15.75" customHeight="1">
      <c r="A53" s="1"/>
      <c r="B53" s="68" t="s">
        <v>64</v>
      </c>
      <c r="D53" s="17"/>
      <c r="E53" s="7"/>
      <c r="F53" s="1"/>
      <c r="G53" s="1"/>
      <c r="H53" s="17"/>
      <c r="I53" s="17"/>
      <c r="J53" s="18"/>
      <c r="K53" s="18"/>
      <c r="L53" s="18"/>
      <c r="M53" s="18"/>
      <c r="N53" s="18"/>
      <c r="O53" s="19"/>
      <c r="P53" s="20"/>
      <c r="Q53" s="20"/>
      <c r="R53" s="17"/>
      <c r="S53" s="17"/>
      <c r="T53" s="19"/>
    </row>
    <row r="54" ht="7.5" customHeight="1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22"/>
      <c r="P54" s="3"/>
      <c r="Q54" s="3"/>
      <c r="R54" s="1"/>
      <c r="S54" s="1"/>
      <c r="T54" s="22"/>
    </row>
    <row r="55" ht="15.75" customHeight="1">
      <c r="A55" s="1"/>
      <c r="B55" s="23" t="s">
        <v>14</v>
      </c>
      <c r="C55" s="23" t="s">
        <v>15</v>
      </c>
      <c r="D55" s="23" t="s">
        <v>16</v>
      </c>
      <c r="E55" s="23" t="s">
        <v>17</v>
      </c>
      <c r="F55" s="23" t="s">
        <v>18</v>
      </c>
      <c r="G55" s="23" t="s">
        <v>19</v>
      </c>
      <c r="H55" s="23" t="s">
        <v>20</v>
      </c>
      <c r="I55" s="24" t="s">
        <v>21</v>
      </c>
      <c r="J55" s="18"/>
      <c r="K55" s="23" t="s">
        <v>22</v>
      </c>
      <c r="L55" s="25" t="s">
        <v>23</v>
      </c>
      <c r="M55" s="26" t="s">
        <v>24</v>
      </c>
      <c r="N55" s="26" t="s">
        <v>25</v>
      </c>
      <c r="O55" s="27"/>
      <c r="P55" s="28" t="s">
        <v>26</v>
      </c>
      <c r="Q55" s="26" t="s">
        <v>27</v>
      </c>
      <c r="R55" s="109" t="s">
        <v>28</v>
      </c>
      <c r="S55" s="23" t="s">
        <v>29</v>
      </c>
      <c r="T55" s="27"/>
    </row>
    <row r="56" ht="7.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22"/>
      <c r="M56" s="22"/>
      <c r="N56" s="22"/>
      <c r="O56" s="22"/>
      <c r="P56" s="6"/>
      <c r="Q56" s="30"/>
      <c r="R56" s="1"/>
      <c r="S56" s="1"/>
      <c r="T56" s="22"/>
    </row>
    <row r="57" ht="55.5" customHeight="1">
      <c r="A57" s="50"/>
      <c r="B57" s="110" t="s">
        <v>30</v>
      </c>
      <c r="C57" s="52" t="s">
        <v>65</v>
      </c>
      <c r="D57" s="111" t="s">
        <v>32</v>
      </c>
      <c r="E57" s="52" t="s">
        <v>66</v>
      </c>
      <c r="F57" s="112" t="str">
        <f t="shared" ref="F57:I57" si="14">F19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57" s="112" t="str">
        <f t="shared" si="14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57" s="112" t="str">
        <f t="shared" si="14"/>
        <v>Brasil</v>
      </c>
      <c r="I57" s="112">
        <f t="shared" si="14"/>
        <v>4</v>
      </c>
      <c r="J57" s="54"/>
      <c r="K57" s="113" t="s">
        <v>67</v>
      </c>
      <c r="L57" s="114">
        <v>0.9</v>
      </c>
      <c r="M57" s="101">
        <f>N57/80%</f>
        <v>0</v>
      </c>
      <c r="N57" s="101">
        <v>0.0</v>
      </c>
      <c r="O57" s="57"/>
      <c r="P57" s="81">
        <f>R57/Q57</f>
        <v>0</v>
      </c>
      <c r="Q57" s="103">
        <v>0.01</v>
      </c>
      <c r="R57" s="104">
        <f>N57/L57</f>
        <v>0</v>
      </c>
      <c r="S57" s="82">
        <v>0.7</v>
      </c>
      <c r="T57" s="57"/>
    </row>
    <row r="58" ht="15.75" customHeight="1">
      <c r="A58" s="58"/>
      <c r="B58" s="59"/>
      <c r="C58" s="60"/>
      <c r="D58" s="60"/>
      <c r="E58" s="60"/>
      <c r="F58" s="60"/>
      <c r="G58" s="60"/>
      <c r="H58" s="61"/>
      <c r="I58" s="86"/>
      <c r="J58" s="87"/>
      <c r="K58" s="88"/>
      <c r="L58" s="25">
        <f>AVERAGE(L57)</f>
        <v>0.9</v>
      </c>
      <c r="M58" s="25">
        <f t="shared" ref="M58:N58" si="15">SUM(M57)</f>
        <v>0</v>
      </c>
      <c r="N58" s="25">
        <f t="shared" si="15"/>
        <v>0</v>
      </c>
      <c r="O58" s="62"/>
      <c r="P58" s="63">
        <f>SUM(P57)</f>
        <v>0</v>
      </c>
      <c r="Q58" s="64" t="str">
        <f>R58/P58</f>
        <v>#DIV/0!</v>
      </c>
      <c r="R58" s="63">
        <f>SUM(R57)</f>
        <v>0</v>
      </c>
      <c r="S58" s="90">
        <f>S57</f>
        <v>0.7</v>
      </c>
      <c r="T58" s="62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15.75" customHeight="1">
      <c r="A60" s="1"/>
      <c r="B60" s="68" t="s">
        <v>68</v>
      </c>
      <c r="D60" s="17"/>
      <c r="E60" s="7"/>
      <c r="F60" s="1"/>
      <c r="G60" s="1"/>
      <c r="H60" s="17"/>
      <c r="I60" s="17"/>
      <c r="J60" s="18"/>
      <c r="K60" s="18"/>
      <c r="L60" s="18"/>
      <c r="M60" s="18"/>
      <c r="N60" s="18"/>
      <c r="O60" s="19"/>
      <c r="P60" s="20"/>
      <c r="Q60" s="20"/>
      <c r="R60" s="17"/>
      <c r="S60" s="17"/>
      <c r="T60" s="19"/>
    </row>
    <row r="61" ht="7.5" customHeight="1">
      <c r="A61" s="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22"/>
      <c r="P61" s="3"/>
      <c r="Q61" s="3"/>
      <c r="R61" s="1"/>
      <c r="S61" s="1"/>
      <c r="T61" s="22"/>
    </row>
    <row r="62" ht="15.75" customHeight="1">
      <c r="A62" s="1"/>
      <c r="B62" s="23" t="s">
        <v>14</v>
      </c>
      <c r="C62" s="23" t="s">
        <v>15</v>
      </c>
      <c r="D62" s="23" t="s">
        <v>16</v>
      </c>
      <c r="E62" s="23" t="s">
        <v>17</v>
      </c>
      <c r="F62" s="23" t="s">
        <v>18</v>
      </c>
      <c r="G62" s="23" t="s">
        <v>19</v>
      </c>
      <c r="H62" s="23" t="s">
        <v>20</v>
      </c>
      <c r="I62" s="24" t="s">
        <v>21</v>
      </c>
      <c r="J62" s="18"/>
      <c r="K62" s="23" t="s">
        <v>22</v>
      </c>
      <c r="L62" s="25" t="s">
        <v>23</v>
      </c>
      <c r="M62" s="26" t="s">
        <v>24</v>
      </c>
      <c r="N62" s="26" t="s">
        <v>25</v>
      </c>
      <c r="O62" s="27"/>
      <c r="P62" s="28" t="s">
        <v>26</v>
      </c>
      <c r="Q62" s="26" t="s">
        <v>27</v>
      </c>
      <c r="R62" s="109" t="s">
        <v>28</v>
      </c>
      <c r="S62" s="23" t="s">
        <v>29</v>
      </c>
      <c r="T62" s="27"/>
    </row>
    <row r="63" ht="7.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22"/>
      <c r="M63" s="22"/>
      <c r="N63" s="22"/>
      <c r="O63" s="22"/>
      <c r="P63" s="6"/>
      <c r="Q63" s="30"/>
      <c r="R63" s="1"/>
      <c r="S63" s="1"/>
      <c r="T63" s="22"/>
    </row>
    <row r="64" ht="36.75" customHeight="1">
      <c r="A64" s="50"/>
      <c r="B64" s="71" t="s">
        <v>30</v>
      </c>
      <c r="C64" s="52" t="s">
        <v>69</v>
      </c>
      <c r="D64" s="78" t="s">
        <v>70</v>
      </c>
      <c r="E64" s="52" t="s">
        <v>71</v>
      </c>
      <c r="F64" s="121" t="str">
        <f t="shared" ref="F64:H64" si="16">F19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64" s="121" t="str">
        <f t="shared" si="16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64" s="121" t="str">
        <f t="shared" si="16"/>
        <v>Brasil</v>
      </c>
      <c r="I64" s="121">
        <v>2.0</v>
      </c>
      <c r="J64" s="54"/>
      <c r="K64" s="78" t="s">
        <v>72</v>
      </c>
      <c r="L64" s="114">
        <v>0.7</v>
      </c>
      <c r="M64" s="101">
        <f t="shared" ref="M64:M65" si="17">N64/80%</f>
        <v>0</v>
      </c>
      <c r="N64" s="101">
        <v>0.0</v>
      </c>
      <c r="O64" s="57"/>
      <c r="P64" s="81">
        <f t="shared" ref="P64:P65" si="18">N64/L64</f>
        <v>0</v>
      </c>
      <c r="Q64" s="103">
        <v>0.02</v>
      </c>
      <c r="R64" s="104">
        <f t="shared" ref="R64:R65" si="19">P64*Q64</f>
        <v>0</v>
      </c>
      <c r="S64" s="83">
        <v>0.9</v>
      </c>
      <c r="T64" s="57"/>
    </row>
    <row r="65" ht="36.75" customHeight="1">
      <c r="A65" s="50"/>
      <c r="B65" s="51"/>
      <c r="C65" s="52" t="s">
        <v>73</v>
      </c>
      <c r="D65" s="55"/>
      <c r="E65" s="52" t="s">
        <v>71</v>
      </c>
      <c r="F65" s="122"/>
      <c r="G65" s="122"/>
      <c r="H65" s="122"/>
      <c r="I65" s="121">
        <v>1.0</v>
      </c>
      <c r="J65" s="54"/>
      <c r="K65" s="78" t="s">
        <v>72</v>
      </c>
      <c r="L65" s="114">
        <v>0.7</v>
      </c>
      <c r="M65" s="101">
        <f t="shared" si="17"/>
        <v>0</v>
      </c>
      <c r="N65" s="101">
        <v>0.0</v>
      </c>
      <c r="O65" s="57"/>
      <c r="P65" s="81">
        <f t="shared" si="18"/>
        <v>0</v>
      </c>
      <c r="Q65" s="103">
        <v>0.02</v>
      </c>
      <c r="R65" s="104">
        <f t="shared" si="19"/>
        <v>0</v>
      </c>
      <c r="S65" s="85"/>
      <c r="T65" s="57"/>
    </row>
    <row r="66" ht="15.75" customHeight="1">
      <c r="A66" s="58"/>
      <c r="B66" s="59"/>
      <c r="C66" s="60"/>
      <c r="D66" s="60"/>
      <c r="E66" s="60"/>
      <c r="F66" s="60"/>
      <c r="G66" s="60"/>
      <c r="H66" s="61"/>
      <c r="I66" s="86"/>
      <c r="J66" s="87"/>
      <c r="K66" s="88"/>
      <c r="L66" s="26" t="s">
        <v>74</v>
      </c>
      <c r="M66" s="25">
        <f t="shared" ref="M66:N66" si="20">SUM(M64:M65)</f>
        <v>0</v>
      </c>
      <c r="N66" s="25">
        <f t="shared" si="20"/>
        <v>0</v>
      </c>
      <c r="O66" s="62"/>
      <c r="P66" s="63">
        <f>SUM(P64:P65)</f>
        <v>0</v>
      </c>
      <c r="Q66" s="64" t="str">
        <f>R66/P66</f>
        <v>#DIV/0!</v>
      </c>
      <c r="R66" s="63">
        <f>SUM(R64:R65)</f>
        <v>0</v>
      </c>
      <c r="S66" s="90">
        <f>S64</f>
        <v>0.9</v>
      </c>
      <c r="T66" s="62"/>
    </row>
    <row r="67" ht="15.75" customHeight="1">
      <c r="A67" s="124"/>
      <c r="B67" s="18"/>
      <c r="C67" s="18"/>
      <c r="D67" s="18"/>
      <c r="E67" s="18"/>
      <c r="F67" s="18"/>
      <c r="G67" s="18"/>
      <c r="H67" s="18"/>
      <c r="I67" s="17"/>
      <c r="J67" s="18"/>
      <c r="K67" s="18"/>
      <c r="L67" s="125"/>
      <c r="M67" s="126"/>
      <c r="N67" s="126"/>
      <c r="O67" s="19"/>
      <c r="P67" s="20"/>
      <c r="Q67" s="20"/>
      <c r="R67" s="20"/>
      <c r="S67" s="20"/>
      <c r="T67" s="19"/>
    </row>
    <row r="68" ht="15.75" customHeight="1">
      <c r="A68" s="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127" t="s">
        <v>74</v>
      </c>
      <c r="M68" s="128" t="s">
        <v>24</v>
      </c>
      <c r="N68" s="129" t="s">
        <v>25</v>
      </c>
      <c r="O68" s="19"/>
      <c r="P68" s="130" t="s">
        <v>26</v>
      </c>
      <c r="Q68" s="131" t="s">
        <v>28</v>
      </c>
      <c r="R68" s="132" t="s">
        <v>75</v>
      </c>
      <c r="S68" s="20"/>
      <c r="T68" s="19"/>
    </row>
    <row r="69" ht="15.75" customHeight="1">
      <c r="A69" s="1"/>
      <c r="B69" s="133"/>
      <c r="C69" s="60"/>
      <c r="D69" s="60"/>
      <c r="E69" s="60"/>
      <c r="F69" s="60"/>
      <c r="G69" s="60"/>
      <c r="H69" s="61"/>
      <c r="I69" s="134" t="s">
        <v>76</v>
      </c>
      <c r="J69" s="60"/>
      <c r="K69" s="61"/>
      <c r="L69" s="127" t="s">
        <v>74</v>
      </c>
      <c r="M69" s="135">
        <f t="shared" ref="M69:M70" si="21">N69/80%</f>
        <v>150000</v>
      </c>
      <c r="N69" s="135">
        <f>SUM(N66,N51,N40,N27,N58)</f>
        <v>120000</v>
      </c>
      <c r="O69" s="19"/>
      <c r="P69" s="136">
        <f>SUM(P66,P51,P40,P27,P58)</f>
        <v>11111111.11</v>
      </c>
      <c r="Q69" s="137">
        <f>R51+R27+R66+R58</f>
        <v>33333.33333</v>
      </c>
      <c r="R69" s="137">
        <f>SUM(R40)</f>
        <v>0</v>
      </c>
      <c r="S69" s="20"/>
      <c r="T69" s="19"/>
    </row>
    <row r="70" ht="15.75" customHeight="1">
      <c r="A70" s="1"/>
      <c r="B70" s="133"/>
      <c r="C70" s="60"/>
      <c r="D70" s="60"/>
      <c r="E70" s="60"/>
      <c r="F70" s="60"/>
      <c r="G70" s="60"/>
      <c r="H70" s="61"/>
      <c r="I70" s="134" t="s">
        <v>77</v>
      </c>
      <c r="J70" s="60"/>
      <c r="K70" s="61"/>
      <c r="L70" s="127" t="s">
        <v>74</v>
      </c>
      <c r="M70" s="135">
        <f t="shared" si="21"/>
        <v>37500</v>
      </c>
      <c r="N70" s="135">
        <f>N69/I19</f>
        <v>30000</v>
      </c>
      <c r="O70" s="138"/>
      <c r="P70" s="137">
        <f>P69/I19</f>
        <v>2777777.778</v>
      </c>
      <c r="Q70" s="137">
        <f t="shared" ref="Q70:R70" si="22">Q69</f>
        <v>33333.33333</v>
      </c>
      <c r="R70" s="137">
        <f t="shared" si="22"/>
        <v>0</v>
      </c>
      <c r="S70" s="20"/>
      <c r="T70" s="19"/>
    </row>
    <row r="71" ht="15.75" customHeight="1">
      <c r="A71" s="1"/>
      <c r="B71" s="18"/>
      <c r="C71" s="18"/>
      <c r="D71" s="18"/>
      <c r="E71" s="18"/>
      <c r="F71" s="18"/>
      <c r="G71" s="18"/>
      <c r="H71" s="18"/>
      <c r="I71" s="5"/>
      <c r="J71" s="18"/>
      <c r="K71" s="18"/>
      <c r="L71" s="18"/>
      <c r="M71" s="18"/>
      <c r="N71" s="18"/>
      <c r="O71" s="19"/>
      <c r="P71" s="20"/>
      <c r="Q71" s="20"/>
      <c r="R71" s="20"/>
      <c r="S71" s="20"/>
      <c r="T71" s="19"/>
    </row>
    <row r="72" ht="15.75" customHeight="1">
      <c r="A72" s="139"/>
      <c r="B72" s="140" t="s">
        <v>78</v>
      </c>
      <c r="C72" s="141"/>
      <c r="D72" s="141"/>
      <c r="E72" s="141"/>
      <c r="F72" s="142"/>
      <c r="G72" s="17"/>
      <c r="H72" s="17"/>
      <c r="I72" s="143"/>
      <c r="J72" s="18"/>
      <c r="K72" s="18"/>
      <c r="L72" s="18"/>
      <c r="M72" s="18"/>
      <c r="N72" s="18"/>
      <c r="O72" s="138"/>
      <c r="P72" s="20"/>
      <c r="Q72" s="20"/>
      <c r="R72" s="20"/>
      <c r="S72" s="20"/>
      <c r="T72" s="138"/>
    </row>
    <row r="73" ht="15.75" customHeight="1">
      <c r="A73" s="139"/>
      <c r="B73" s="144" t="s">
        <v>79</v>
      </c>
      <c r="C73" s="145" t="s">
        <v>80</v>
      </c>
      <c r="D73" s="145" t="s">
        <v>81</v>
      </c>
      <c r="E73" s="145" t="s">
        <v>82</v>
      </c>
      <c r="F73" s="144" t="s">
        <v>83</v>
      </c>
      <c r="G73" s="1"/>
      <c r="H73" s="1"/>
      <c r="I73" s="139"/>
      <c r="J73" s="18"/>
      <c r="K73" s="18"/>
      <c r="L73" s="18"/>
      <c r="M73" s="18"/>
      <c r="N73" s="18"/>
      <c r="O73" s="19"/>
      <c r="P73" s="20"/>
      <c r="Q73" s="20"/>
      <c r="R73" s="20"/>
      <c r="S73" s="20"/>
      <c r="T73" s="19"/>
    </row>
    <row r="74" ht="15.75" customHeight="1">
      <c r="A74" s="139"/>
      <c r="B74" s="146">
        <f>TODAY()+10</f>
        <v>46270</v>
      </c>
      <c r="C74" s="146">
        <f>B74+D74</f>
        <v>46390</v>
      </c>
      <c r="D74" s="147">
        <f>30*I19</f>
        <v>120</v>
      </c>
      <c r="E74" s="148">
        <f>N69/D74</f>
        <v>1000</v>
      </c>
      <c r="F74" s="149">
        <f>P69/D74</f>
        <v>92592.59259</v>
      </c>
      <c r="G74" s="1"/>
      <c r="H74" s="1"/>
      <c r="I74" s="139"/>
      <c r="J74" s="18"/>
      <c r="K74" s="18"/>
      <c r="L74" s="18"/>
      <c r="M74" s="18"/>
      <c r="N74" s="18"/>
      <c r="O74" s="19"/>
      <c r="P74" s="20"/>
      <c r="Q74" s="20"/>
      <c r="R74" s="20"/>
      <c r="S74" s="20"/>
      <c r="T74" s="19"/>
    </row>
    <row r="75" ht="15.75" customHeight="1">
      <c r="A75" s="139"/>
      <c r="B75" s="144" t="s">
        <v>84</v>
      </c>
      <c r="C75" s="145" t="s">
        <v>85</v>
      </c>
      <c r="D75" s="145" t="s">
        <v>86</v>
      </c>
      <c r="E75" s="145" t="s">
        <v>87</v>
      </c>
      <c r="F75" s="144" t="s">
        <v>88</v>
      </c>
      <c r="G75" s="1"/>
      <c r="H75" s="5"/>
      <c r="I75" s="139"/>
      <c r="J75" s="18"/>
      <c r="K75" s="18"/>
      <c r="L75" s="18"/>
      <c r="M75" s="18"/>
      <c r="N75" s="18"/>
      <c r="O75" s="19"/>
      <c r="P75" s="20"/>
      <c r="Q75" s="20"/>
      <c r="R75" s="20"/>
      <c r="S75" s="20"/>
      <c r="T75" s="19"/>
    </row>
    <row r="76" ht="15.75" customHeight="1">
      <c r="A76" s="139"/>
      <c r="B76" s="150">
        <v>2.0</v>
      </c>
      <c r="C76" s="151">
        <v>6.0</v>
      </c>
      <c r="D76" s="152">
        <f>B76*C76</f>
        <v>12</v>
      </c>
      <c r="E76" s="148">
        <f>E74/D76</f>
        <v>83.33333333</v>
      </c>
      <c r="F76" s="149">
        <f>F74/D76</f>
        <v>7716.049383</v>
      </c>
      <c r="G76" s="139"/>
      <c r="H76" s="143"/>
      <c r="I76" s="139"/>
      <c r="J76" s="18"/>
      <c r="K76" s="18"/>
      <c r="L76" s="18"/>
      <c r="M76" s="18"/>
      <c r="N76" s="18"/>
      <c r="O76" s="19"/>
      <c r="P76" s="20"/>
      <c r="Q76" s="20"/>
      <c r="R76" s="20"/>
      <c r="S76" s="20"/>
      <c r="T76" s="19"/>
    </row>
    <row r="77" ht="15.75" customHeight="1">
      <c r="A77" s="139"/>
      <c r="B77" s="153" t="s">
        <v>89</v>
      </c>
      <c r="C77" s="142"/>
      <c r="D77" s="154" t="s">
        <v>90</v>
      </c>
      <c r="E77" s="154" t="s">
        <v>91</v>
      </c>
      <c r="F77" s="144" t="s">
        <v>92</v>
      </c>
      <c r="G77" s="139"/>
      <c r="H77" s="139"/>
      <c r="I77" s="139"/>
      <c r="J77" s="18"/>
      <c r="K77" s="18"/>
      <c r="L77" s="18"/>
      <c r="M77" s="18"/>
      <c r="N77" s="18"/>
      <c r="O77" s="19"/>
      <c r="P77" s="20"/>
      <c r="Q77" s="20"/>
      <c r="R77" s="20"/>
      <c r="S77" s="20"/>
      <c r="T77" s="19"/>
    </row>
    <row r="78" ht="15.75" customHeight="1">
      <c r="A78" s="6"/>
      <c r="B78" s="155">
        <v>1.0</v>
      </c>
      <c r="C78" s="142"/>
      <c r="D78" s="152">
        <f>B78</f>
        <v>1</v>
      </c>
      <c r="E78" s="148">
        <f>E76/D78</f>
        <v>83.33333333</v>
      </c>
      <c r="F78" s="149">
        <f>F76/D78</f>
        <v>7716.049383</v>
      </c>
      <c r="G78" s="139"/>
      <c r="H78" s="139"/>
      <c r="I78" s="139"/>
      <c r="J78" s="18"/>
      <c r="K78" s="18"/>
      <c r="L78" s="18"/>
      <c r="M78" s="18"/>
      <c r="N78" s="18"/>
      <c r="O78" s="19"/>
      <c r="P78" s="20"/>
      <c r="Q78" s="20"/>
      <c r="R78" s="20"/>
      <c r="S78" s="20"/>
      <c r="T78" s="19"/>
    </row>
    <row r="79" ht="15.75" customHeight="1">
      <c r="A79" s="6"/>
      <c r="B79" s="156"/>
      <c r="C79" s="157"/>
      <c r="D79" s="157"/>
      <c r="E79" s="157"/>
      <c r="F79" s="156"/>
      <c r="H79" s="139"/>
      <c r="I79" s="139"/>
      <c r="J79" s="18"/>
      <c r="K79" s="18"/>
      <c r="L79" s="18"/>
      <c r="M79" s="18"/>
      <c r="N79" s="18"/>
      <c r="O79" s="19"/>
      <c r="P79" s="20"/>
      <c r="Q79" s="20"/>
      <c r="R79" s="20"/>
      <c r="S79" s="20"/>
      <c r="T79" s="19"/>
    </row>
    <row r="80" ht="15.75" customHeight="1">
      <c r="A80" s="6"/>
      <c r="B80" s="158" t="s">
        <v>93</v>
      </c>
      <c r="D80" s="159" t="s">
        <v>115</v>
      </c>
      <c r="G80" s="139"/>
      <c r="H80" s="139"/>
      <c r="I80" s="139"/>
      <c r="J80" s="18"/>
      <c r="K80" s="18"/>
      <c r="L80" s="18"/>
      <c r="M80" s="18"/>
      <c r="N80" s="18"/>
      <c r="O80" s="19"/>
      <c r="P80" s="20"/>
      <c r="Q80" s="20"/>
      <c r="R80" s="20"/>
      <c r="S80" s="20"/>
      <c r="T80" s="19"/>
    </row>
    <row r="81" ht="15.75" customHeight="1">
      <c r="A81" s="6"/>
      <c r="B81" s="160" t="s">
        <v>95</v>
      </c>
      <c r="C81" s="161"/>
      <c r="D81" s="162" t="s">
        <v>116</v>
      </c>
      <c r="F81" s="163"/>
      <c r="H81" s="139"/>
      <c r="I81" s="139"/>
      <c r="J81" s="18"/>
      <c r="K81" s="18"/>
      <c r="L81" s="18"/>
      <c r="M81" s="18"/>
      <c r="N81" s="18"/>
      <c r="O81" s="19"/>
      <c r="P81" s="20"/>
      <c r="Q81" s="20"/>
      <c r="R81" s="20"/>
      <c r="S81" s="20"/>
      <c r="T81" s="19"/>
    </row>
    <row r="82" ht="15.75" customHeight="1">
      <c r="A82" s="6"/>
      <c r="B82" s="160" t="s">
        <v>97</v>
      </c>
      <c r="C82" s="161"/>
      <c r="D82" s="162">
        <v>12.0</v>
      </c>
      <c r="F82" s="163"/>
      <c r="G82" s="139"/>
      <c r="H82" s="139"/>
      <c r="I82" s="139"/>
      <c r="J82" s="18"/>
      <c r="K82" s="18"/>
      <c r="L82" s="18"/>
      <c r="M82" s="18"/>
      <c r="N82" s="18"/>
      <c r="O82" s="19"/>
      <c r="P82" s="20"/>
      <c r="Q82" s="20"/>
      <c r="R82" s="20"/>
      <c r="S82" s="20"/>
      <c r="T82" s="19"/>
    </row>
    <row r="83" ht="15.75" customHeight="1">
      <c r="A83" s="6"/>
      <c r="B83" s="160" t="s">
        <v>98</v>
      </c>
      <c r="C83" s="161"/>
      <c r="D83" s="162" t="s">
        <v>99</v>
      </c>
      <c r="F83" s="163"/>
      <c r="H83" s="139"/>
      <c r="I83" s="139"/>
      <c r="J83" s="18"/>
      <c r="K83" s="18"/>
      <c r="L83" s="18"/>
      <c r="M83" s="18"/>
      <c r="N83" s="18"/>
      <c r="O83" s="19"/>
      <c r="P83" s="20"/>
      <c r="Q83" s="20"/>
      <c r="R83" s="20"/>
      <c r="S83" s="20"/>
      <c r="T83" s="19"/>
    </row>
    <row r="84" ht="15.75" customHeight="1">
      <c r="A84" s="6"/>
      <c r="B84" s="160" t="s">
        <v>100</v>
      </c>
      <c r="C84" s="161"/>
      <c r="D84" s="162" t="s">
        <v>117</v>
      </c>
      <c r="F84" s="163"/>
      <c r="G84" s="139"/>
      <c r="H84" s="139"/>
      <c r="I84" s="139"/>
      <c r="J84" s="18"/>
      <c r="K84" s="18"/>
      <c r="L84" s="18"/>
      <c r="M84" s="18"/>
      <c r="N84" s="18"/>
      <c r="O84" s="19"/>
      <c r="P84" s="20"/>
      <c r="Q84" s="20"/>
      <c r="R84" s="20"/>
      <c r="S84" s="20"/>
      <c r="T84" s="19"/>
    </row>
    <row r="85" ht="15.75" customHeight="1">
      <c r="A85" s="6"/>
      <c r="B85" s="160" t="s">
        <v>102</v>
      </c>
      <c r="C85" s="161"/>
      <c r="D85" s="162" t="s">
        <v>105</v>
      </c>
      <c r="F85" s="163"/>
      <c r="H85" s="139"/>
      <c r="I85" s="139"/>
      <c r="J85" s="18"/>
      <c r="K85" s="18"/>
      <c r="L85" s="18"/>
      <c r="M85" s="18"/>
      <c r="N85" s="18"/>
      <c r="O85" s="19"/>
      <c r="P85" s="20"/>
      <c r="Q85" s="20"/>
      <c r="R85" s="20"/>
      <c r="S85" s="20"/>
      <c r="T85" s="19"/>
    </row>
    <row r="86" ht="15.75" customHeight="1">
      <c r="A86" s="6"/>
      <c r="B86" s="160" t="s">
        <v>104</v>
      </c>
      <c r="C86" s="161"/>
      <c r="D86" s="162" t="s">
        <v>105</v>
      </c>
      <c r="F86" s="163"/>
      <c r="G86" s="139"/>
      <c r="H86" s="139"/>
      <c r="I86" s="139"/>
      <c r="J86" s="18"/>
      <c r="K86" s="18"/>
      <c r="L86" s="18"/>
      <c r="M86" s="18"/>
      <c r="N86" s="18"/>
      <c r="O86" s="19"/>
      <c r="P86" s="20"/>
      <c r="Q86" s="20"/>
      <c r="R86" s="20"/>
      <c r="S86" s="20"/>
      <c r="T86" s="19"/>
    </row>
    <row r="87" ht="15.75" customHeight="1">
      <c r="A87" s="6"/>
      <c r="B87" s="164" t="s">
        <v>106</v>
      </c>
      <c r="C87" s="165"/>
      <c r="D87" s="166" t="s">
        <v>122</v>
      </c>
      <c r="E87" s="167"/>
      <c r="F87" s="168"/>
      <c r="H87" s="139"/>
      <c r="I87" s="139"/>
      <c r="J87" s="18"/>
      <c r="K87" s="18"/>
      <c r="L87" s="18"/>
      <c r="M87" s="18"/>
      <c r="N87" s="18"/>
      <c r="O87" s="19"/>
      <c r="P87" s="20"/>
      <c r="Q87" s="20"/>
      <c r="R87" s="20"/>
      <c r="S87" s="20"/>
      <c r="T87" s="19"/>
    </row>
    <row r="88" ht="15.75" customHeight="1">
      <c r="A88" s="6"/>
      <c r="B88" s="156"/>
      <c r="C88" s="157"/>
      <c r="D88" s="157"/>
      <c r="E88" s="157"/>
      <c r="F88" s="156"/>
      <c r="G88" s="139"/>
      <c r="H88" s="139"/>
      <c r="I88" s="139"/>
      <c r="J88" s="18"/>
      <c r="K88" s="18"/>
      <c r="L88" s="18"/>
      <c r="M88" s="18"/>
      <c r="N88" s="18"/>
      <c r="O88" s="19"/>
      <c r="P88" s="20"/>
      <c r="Q88" s="20"/>
      <c r="R88" s="20"/>
      <c r="S88" s="20"/>
      <c r="T88" s="19"/>
    </row>
    <row r="89" ht="15.75" customHeight="1">
      <c r="A89" s="6"/>
      <c r="B89" s="156"/>
      <c r="C89" s="157"/>
      <c r="D89" s="157"/>
      <c r="E89" s="157"/>
      <c r="F89" s="156"/>
      <c r="H89" s="139"/>
      <c r="I89" s="139"/>
      <c r="J89" s="18"/>
      <c r="K89" s="18"/>
      <c r="L89" s="18"/>
      <c r="M89" s="18"/>
      <c r="N89" s="18"/>
      <c r="O89" s="19"/>
      <c r="P89" s="20"/>
      <c r="Q89" s="20"/>
      <c r="R89" s="20"/>
      <c r="S89" s="20"/>
      <c r="T89" s="19"/>
    </row>
  </sheetData>
  <mergeCells count="90">
    <mergeCell ref="G19:G26"/>
    <mergeCell ref="H19:H24"/>
    <mergeCell ref="I19:I26"/>
    <mergeCell ref="K19:K26"/>
    <mergeCell ref="L19:L26"/>
    <mergeCell ref="M19:M26"/>
    <mergeCell ref="N19:N26"/>
    <mergeCell ref="O19:O26"/>
    <mergeCell ref="P19:P26"/>
    <mergeCell ref="Q19:Q26"/>
    <mergeCell ref="R19:R26"/>
    <mergeCell ref="S19:S26"/>
    <mergeCell ref="B4:C4"/>
    <mergeCell ref="B12:T12"/>
    <mergeCell ref="B15:C15"/>
    <mergeCell ref="B19:B26"/>
    <mergeCell ref="D19:D26"/>
    <mergeCell ref="E19:E26"/>
    <mergeCell ref="F19:F24"/>
    <mergeCell ref="F33:F39"/>
    <mergeCell ref="E34:E39"/>
    <mergeCell ref="B46:B50"/>
    <mergeCell ref="F46:F50"/>
    <mergeCell ref="G46:G50"/>
    <mergeCell ref="I46:I50"/>
    <mergeCell ref="K46:K50"/>
    <mergeCell ref="I51:K51"/>
    <mergeCell ref="H46:H50"/>
    <mergeCell ref="B51:H51"/>
    <mergeCell ref="B53:C53"/>
    <mergeCell ref="B58:H58"/>
    <mergeCell ref="I58:K58"/>
    <mergeCell ref="B60:C60"/>
    <mergeCell ref="B64:B65"/>
    <mergeCell ref="B69:H69"/>
    <mergeCell ref="I69:K69"/>
    <mergeCell ref="B70:H70"/>
    <mergeCell ref="I70:K70"/>
    <mergeCell ref="B72:F72"/>
    <mergeCell ref="B77:C77"/>
    <mergeCell ref="G78:G79"/>
    <mergeCell ref="G80:G81"/>
    <mergeCell ref="G82:G83"/>
    <mergeCell ref="G84:G85"/>
    <mergeCell ref="G86:G87"/>
    <mergeCell ref="G88:G89"/>
    <mergeCell ref="B78:C78"/>
    <mergeCell ref="B80:C80"/>
    <mergeCell ref="D80:F80"/>
    <mergeCell ref="B81:C81"/>
    <mergeCell ref="D81:F81"/>
    <mergeCell ref="B82:C82"/>
    <mergeCell ref="D82:F82"/>
    <mergeCell ref="B86:C86"/>
    <mergeCell ref="B87:C87"/>
    <mergeCell ref="B83:C83"/>
    <mergeCell ref="D83:F83"/>
    <mergeCell ref="B84:C84"/>
    <mergeCell ref="D84:F84"/>
    <mergeCell ref="B85:C85"/>
    <mergeCell ref="D85:F85"/>
    <mergeCell ref="D86:F86"/>
    <mergeCell ref="D87:F87"/>
    <mergeCell ref="P34:P39"/>
    <mergeCell ref="Q34:Q39"/>
    <mergeCell ref="H33:H39"/>
    <mergeCell ref="I33:I39"/>
    <mergeCell ref="S33:S39"/>
    <mergeCell ref="L34:L39"/>
    <mergeCell ref="M34:M39"/>
    <mergeCell ref="N34:N39"/>
    <mergeCell ref="O34:O39"/>
    <mergeCell ref="R34:R39"/>
    <mergeCell ref="B40:H40"/>
    <mergeCell ref="I40:K40"/>
    <mergeCell ref="B42:C42"/>
    <mergeCell ref="B27:H27"/>
    <mergeCell ref="I27:K27"/>
    <mergeCell ref="B29:C29"/>
    <mergeCell ref="B33:B39"/>
    <mergeCell ref="D33:D39"/>
    <mergeCell ref="G33:G39"/>
    <mergeCell ref="K33:K39"/>
    <mergeCell ref="D64:D65"/>
    <mergeCell ref="F64:F65"/>
    <mergeCell ref="G64:G65"/>
    <mergeCell ref="H64:H65"/>
    <mergeCell ref="S64:S65"/>
    <mergeCell ref="B66:H66"/>
    <mergeCell ref="I66:K6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21.13"/>
    <col customWidth="1" min="3" max="4" width="26.38"/>
    <col customWidth="1" min="5" max="5" width="1.38"/>
    <col customWidth="1" min="6" max="6" width="21.13"/>
    <col customWidth="1" min="7" max="8" width="26.38"/>
    <col customWidth="1" min="9" max="9" width="1.38"/>
    <col customWidth="1" min="10" max="10" width="25.25"/>
    <col customWidth="1" min="11" max="12" width="31.5"/>
    <col customWidth="1" min="13" max="13" width="2.5"/>
  </cols>
  <sheetData>
    <row r="1" ht="15.75" customHeight="1">
      <c r="A1" s="169"/>
      <c r="B1" s="169"/>
      <c r="C1" s="169"/>
      <c r="D1" s="156"/>
      <c r="E1" s="170"/>
      <c r="F1" s="169"/>
      <c r="G1" s="169"/>
      <c r="H1" s="171"/>
      <c r="I1" s="171"/>
      <c r="J1" s="171"/>
      <c r="K1" s="171"/>
      <c r="L1" s="171"/>
      <c r="M1" s="169"/>
    </row>
    <row r="2" ht="15.75" customHeight="1">
      <c r="A2" s="169"/>
      <c r="B2" s="169"/>
      <c r="C2" s="169"/>
      <c r="D2" s="172" t="s">
        <v>118</v>
      </c>
      <c r="E2" s="170"/>
      <c r="F2" s="169"/>
      <c r="G2" s="169"/>
      <c r="H2" s="171"/>
      <c r="I2" s="171"/>
      <c r="J2" s="173"/>
      <c r="K2" s="173" t="s">
        <v>120</v>
      </c>
      <c r="M2" s="169"/>
    </row>
    <row r="3" ht="15.75" customHeight="1">
      <c r="A3" s="169"/>
      <c r="B3" s="169"/>
      <c r="C3" s="169"/>
      <c r="D3" s="176" t="s">
        <v>121</v>
      </c>
      <c r="E3" s="170"/>
      <c r="F3" s="169"/>
      <c r="G3" s="169"/>
      <c r="H3" s="171"/>
      <c r="I3" s="171"/>
      <c r="J3" s="179"/>
      <c r="K3" s="182" t="str">
        <f>RANDBETWEEN(10000,99999)&amp;"-"&amp;TEXT(TODAY(),"mmyy")</f>
        <v>18527-0826</v>
      </c>
      <c r="M3" s="169"/>
    </row>
    <row r="4" ht="15.75" customHeight="1">
      <c r="A4" s="169"/>
      <c r="B4" s="169"/>
      <c r="C4" s="169"/>
      <c r="D4" s="176" t="s">
        <v>132</v>
      </c>
      <c r="E4" s="170"/>
      <c r="F4" s="169"/>
      <c r="G4" s="169"/>
      <c r="H4" s="171"/>
      <c r="I4" s="171"/>
      <c r="J4" s="179"/>
      <c r="M4" s="169"/>
    </row>
    <row r="5" ht="15.75" customHeight="1">
      <c r="A5" s="169"/>
      <c r="B5" s="169"/>
      <c r="C5" s="169"/>
      <c r="D5" s="176" t="s">
        <v>134</v>
      </c>
      <c r="E5" s="170"/>
      <c r="F5" s="169"/>
      <c r="G5" s="169"/>
      <c r="H5" s="171"/>
      <c r="I5" s="171"/>
      <c r="J5" s="185"/>
      <c r="K5" s="185" t="s">
        <v>138</v>
      </c>
      <c r="L5" s="188">
        <f>TODAY()</f>
        <v>46260</v>
      </c>
      <c r="M5" s="169"/>
    </row>
    <row r="6" ht="15.75" customHeight="1">
      <c r="A6" s="169"/>
      <c r="B6" s="169"/>
      <c r="C6" s="169"/>
      <c r="D6" s="156"/>
      <c r="E6" s="170"/>
      <c r="F6" s="169"/>
      <c r="G6" s="169"/>
      <c r="H6" s="171"/>
      <c r="I6" s="171"/>
      <c r="J6" s="171"/>
      <c r="K6" s="171"/>
      <c r="L6" s="171"/>
      <c r="M6" s="169"/>
    </row>
    <row r="7" ht="15.75" customHeight="1">
      <c r="A7" s="169"/>
      <c r="B7" s="192" t="s">
        <v>147</v>
      </c>
      <c r="C7" s="193"/>
      <c r="D7" s="193"/>
      <c r="E7" s="193"/>
      <c r="F7" s="193"/>
      <c r="G7" s="193"/>
      <c r="H7" s="193"/>
      <c r="I7" s="193"/>
      <c r="J7" s="193"/>
      <c r="K7" s="193"/>
      <c r="L7" s="195"/>
      <c r="M7" s="169"/>
    </row>
    <row r="8" ht="15.75" customHeight="1">
      <c r="A8" s="169"/>
      <c r="B8" s="196"/>
      <c r="C8" s="167"/>
      <c r="D8" s="167"/>
      <c r="E8" s="167"/>
      <c r="F8" s="167"/>
      <c r="G8" s="167"/>
      <c r="H8" s="167"/>
      <c r="I8" s="167"/>
      <c r="J8" s="167"/>
      <c r="K8" s="167"/>
      <c r="L8" s="168"/>
      <c r="M8" s="169"/>
    </row>
    <row r="9" ht="15.75" customHeight="1">
      <c r="A9" s="169"/>
      <c r="B9" s="169"/>
      <c r="C9" s="169"/>
      <c r="D9" s="197"/>
      <c r="E9" s="197"/>
      <c r="F9" s="197"/>
      <c r="G9" s="197"/>
      <c r="H9" s="197"/>
      <c r="I9" s="198"/>
      <c r="J9" s="197"/>
      <c r="K9" s="197"/>
      <c r="L9" s="197"/>
      <c r="M9" s="169"/>
    </row>
    <row r="10" ht="15.75" customHeight="1">
      <c r="A10" s="169"/>
      <c r="B10" s="200" t="s">
        <v>200</v>
      </c>
      <c r="C10" s="141"/>
      <c r="D10" s="142"/>
      <c r="E10" s="201"/>
      <c r="F10" s="200" t="s">
        <v>210</v>
      </c>
      <c r="G10" s="141"/>
      <c r="H10" s="142"/>
      <c r="I10" s="198"/>
      <c r="J10" s="200" t="s">
        <v>216</v>
      </c>
      <c r="K10" s="141"/>
      <c r="L10" s="142"/>
      <c r="M10" s="202"/>
    </row>
    <row r="11" ht="15.75" customHeight="1">
      <c r="A11" s="169"/>
      <c r="B11" s="203" t="s">
        <v>221</v>
      </c>
      <c r="C11" s="204"/>
      <c r="D11" s="142"/>
      <c r="E11" s="201"/>
      <c r="F11" s="203" t="s">
        <v>221</v>
      </c>
      <c r="G11" s="204"/>
      <c r="H11" s="142"/>
      <c r="I11" s="198"/>
      <c r="J11" s="205" t="s">
        <v>247</v>
      </c>
      <c r="K11" s="141"/>
      <c r="L11" s="142"/>
      <c r="M11" s="202"/>
    </row>
    <row r="12" ht="15.75" customHeight="1">
      <c r="A12" s="169"/>
      <c r="B12" s="203" t="s">
        <v>255</v>
      </c>
      <c r="C12" s="204"/>
      <c r="D12" s="142"/>
      <c r="E12" s="201"/>
      <c r="F12" s="203" t="s">
        <v>255</v>
      </c>
      <c r="G12" s="204"/>
      <c r="H12" s="142"/>
      <c r="I12" s="198"/>
      <c r="J12" s="206" t="s">
        <v>263</v>
      </c>
      <c r="K12" s="207" t="s">
        <v>272</v>
      </c>
      <c r="L12" s="142"/>
      <c r="M12" s="202"/>
    </row>
    <row r="13" ht="15.75" customHeight="1">
      <c r="A13" s="169"/>
      <c r="B13" s="208" t="s">
        <v>284</v>
      </c>
      <c r="C13" s="204"/>
      <c r="D13" s="142"/>
      <c r="E13" s="201"/>
      <c r="F13" s="208" t="s">
        <v>293</v>
      </c>
      <c r="G13" s="204"/>
      <c r="H13" s="142"/>
      <c r="I13" s="198"/>
      <c r="J13" s="206" t="s">
        <v>294</v>
      </c>
      <c r="K13" s="207" t="s">
        <v>296</v>
      </c>
      <c r="L13" s="142"/>
      <c r="M13" s="202"/>
    </row>
    <row r="14" ht="15.75" customHeight="1">
      <c r="A14" s="169"/>
      <c r="B14" s="208" t="s">
        <v>307</v>
      </c>
      <c r="C14" s="204"/>
      <c r="D14" s="142"/>
      <c r="E14" s="201"/>
      <c r="F14" s="208" t="s">
        <v>314</v>
      </c>
      <c r="G14" s="204"/>
      <c r="H14" s="142"/>
      <c r="I14" s="198"/>
      <c r="J14" s="209"/>
      <c r="K14" s="169"/>
      <c r="M14" s="202"/>
    </row>
    <row r="15" ht="15.75" customHeight="1">
      <c r="A15" s="169"/>
      <c r="B15" s="169"/>
      <c r="C15" s="169"/>
      <c r="D15" s="197"/>
      <c r="E15" s="197"/>
      <c r="F15" s="197"/>
      <c r="G15" s="197"/>
      <c r="H15" s="197"/>
      <c r="I15" s="197"/>
      <c r="J15" s="197"/>
      <c r="K15" s="197"/>
      <c r="L15" s="197"/>
      <c r="M15" s="169"/>
    </row>
    <row r="16" ht="15.75" customHeight="1">
      <c r="A16" s="170"/>
      <c r="B16" s="158" t="s">
        <v>342</v>
      </c>
      <c r="C16" s="158" t="s">
        <v>22</v>
      </c>
      <c r="E16" s="158" t="s">
        <v>350</v>
      </c>
      <c r="H16" s="158" t="s">
        <v>23</v>
      </c>
      <c r="I16" s="158"/>
      <c r="J16" s="158" t="s">
        <v>357</v>
      </c>
      <c r="K16" s="158" t="s">
        <v>359</v>
      </c>
      <c r="M16" s="170"/>
    </row>
    <row r="17" ht="15.75" customHeight="1">
      <c r="A17" s="170"/>
      <c r="B17" s="210" t="s">
        <v>363</v>
      </c>
      <c r="C17" s="212"/>
      <c r="D17" s="214"/>
      <c r="E17" s="212"/>
      <c r="F17" s="215"/>
      <c r="G17" s="214"/>
      <c r="H17" s="217"/>
      <c r="I17" s="218"/>
      <c r="J17" s="84"/>
      <c r="K17" s="220"/>
      <c r="L17" s="84"/>
      <c r="M17" s="170"/>
    </row>
    <row r="18" ht="15.75" customHeight="1">
      <c r="A18" s="170"/>
      <c r="B18" s="222"/>
      <c r="C18" s="222"/>
      <c r="D18" s="222"/>
      <c r="E18" s="222"/>
      <c r="F18" s="222"/>
      <c r="G18" s="222"/>
      <c r="H18" s="223"/>
      <c r="I18" s="225" t="s">
        <v>77</v>
      </c>
      <c r="K18" s="226">
        <f>SUM(K17)</f>
        <v>0</v>
      </c>
      <c r="M18" s="170"/>
    </row>
    <row r="19" ht="15.75" customHeight="1">
      <c r="A19" s="169"/>
      <c r="B19" s="156"/>
      <c r="C19" s="156"/>
      <c r="D19" s="156"/>
      <c r="E19" s="170"/>
      <c r="F19" s="227"/>
      <c r="G19" s="227"/>
      <c r="H19" s="227"/>
      <c r="I19" s="227"/>
      <c r="J19" s="227"/>
      <c r="K19" s="227"/>
      <c r="L19" s="227"/>
      <c r="M19" s="169"/>
    </row>
    <row r="20" ht="15.75" customHeight="1">
      <c r="A20" s="169"/>
      <c r="B20" s="156"/>
      <c r="C20" s="156"/>
      <c r="D20" s="156"/>
      <c r="E20" s="170"/>
      <c r="F20" s="227"/>
      <c r="G20" s="227"/>
      <c r="H20" s="227"/>
      <c r="I20" s="225" t="s">
        <v>388</v>
      </c>
      <c r="K20" s="226">
        <f>K18</f>
        <v>0</v>
      </c>
      <c r="M20" s="169"/>
    </row>
    <row r="21" ht="15.75" customHeight="1">
      <c r="A21" s="169"/>
      <c r="B21" s="156"/>
      <c r="C21" s="156"/>
      <c r="D21" s="156"/>
      <c r="E21" s="170"/>
      <c r="F21" s="227"/>
      <c r="G21" s="227"/>
      <c r="H21" s="227"/>
      <c r="I21" s="225" t="s">
        <v>389</v>
      </c>
      <c r="K21" s="226">
        <f>K20</f>
        <v>0</v>
      </c>
      <c r="M21" s="169"/>
    </row>
    <row r="22" ht="15.75" customHeight="1">
      <c r="A22" s="169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69"/>
    </row>
    <row r="23" ht="15.75" customHeight="1">
      <c r="A23" s="171"/>
      <c r="B23" s="24" t="s">
        <v>18</v>
      </c>
      <c r="C23" s="228"/>
      <c r="D23" s="167"/>
      <c r="E23" s="167"/>
      <c r="F23" s="167"/>
      <c r="G23" s="167"/>
      <c r="H23" s="167"/>
      <c r="I23" s="167"/>
      <c r="J23" s="167"/>
      <c r="K23" s="167"/>
      <c r="L23" s="167"/>
      <c r="M23" s="171"/>
    </row>
    <row r="24" ht="15.75" customHeight="1">
      <c r="A24" s="171"/>
      <c r="B24" s="8" t="s">
        <v>19</v>
      </c>
      <c r="C24" s="228"/>
      <c r="D24" s="167"/>
      <c r="E24" s="167"/>
      <c r="F24" s="167"/>
      <c r="G24" s="167"/>
      <c r="H24" s="167"/>
      <c r="I24" s="167"/>
      <c r="J24" s="167"/>
      <c r="K24" s="167"/>
      <c r="L24" s="167"/>
      <c r="M24" s="171"/>
    </row>
    <row r="25" ht="15.75" customHeight="1">
      <c r="A25" s="171"/>
      <c r="B25" s="24" t="s">
        <v>20</v>
      </c>
      <c r="C25" s="229"/>
      <c r="D25" s="230"/>
      <c r="E25" s="230"/>
      <c r="F25" s="230"/>
      <c r="G25" s="230"/>
      <c r="H25" s="230"/>
      <c r="I25" s="230"/>
      <c r="J25" s="230"/>
      <c r="K25" s="230"/>
      <c r="L25" s="230"/>
      <c r="M25" s="171"/>
    </row>
    <row r="26" ht="15.75" customHeight="1">
      <c r="A26" s="171"/>
      <c r="B26" s="24" t="s">
        <v>390</v>
      </c>
      <c r="C26" s="231"/>
      <c r="D26" s="232"/>
      <c r="E26" s="232"/>
      <c r="F26" s="232"/>
      <c r="G26" s="232"/>
      <c r="H26" s="232"/>
      <c r="I26" s="232"/>
      <c r="J26" s="232"/>
      <c r="K26" s="232"/>
      <c r="L26" s="232"/>
      <c r="M26" s="171"/>
    </row>
    <row r="27" ht="15.75" customHeight="1">
      <c r="A27" s="171"/>
      <c r="B27" s="24" t="s">
        <v>21</v>
      </c>
      <c r="C27" s="233"/>
      <c r="D27" s="234"/>
      <c r="E27" s="234"/>
      <c r="F27" s="234"/>
      <c r="G27" s="234"/>
      <c r="H27" s="234"/>
      <c r="I27" s="234"/>
      <c r="J27" s="234"/>
      <c r="K27" s="234"/>
      <c r="L27" s="234"/>
      <c r="M27" s="171"/>
    </row>
    <row r="28" ht="15.75" customHeight="1">
      <c r="A28" s="171"/>
      <c r="B28" s="235"/>
      <c r="C28" s="235"/>
      <c r="D28" s="235"/>
      <c r="E28" s="236"/>
      <c r="F28" s="237"/>
      <c r="G28" s="237"/>
      <c r="H28" s="237"/>
      <c r="I28" s="237"/>
      <c r="J28" s="237"/>
      <c r="K28" s="237"/>
      <c r="L28" s="171"/>
      <c r="M28" s="171"/>
    </row>
    <row r="29" ht="15.75" customHeight="1">
      <c r="A29" s="171"/>
      <c r="B29" s="238" t="s">
        <v>391</v>
      </c>
      <c r="M29" s="171"/>
    </row>
    <row r="30" ht="15.75" customHeight="1">
      <c r="A30" s="171"/>
      <c r="B30" s="239"/>
      <c r="C30" s="193"/>
      <c r="D30" s="193"/>
      <c r="E30" s="193"/>
      <c r="F30" s="193"/>
      <c r="G30" s="193"/>
      <c r="H30" s="193"/>
      <c r="I30" s="193"/>
      <c r="J30" s="193"/>
      <c r="K30" s="193"/>
      <c r="L30" s="195"/>
      <c r="M30" s="171"/>
    </row>
    <row r="31" ht="15.75" customHeight="1">
      <c r="A31" s="171"/>
      <c r="B31" s="240"/>
      <c r="L31" s="163"/>
      <c r="M31" s="171"/>
    </row>
    <row r="32" ht="15.75" customHeight="1">
      <c r="A32" s="171"/>
      <c r="B32" s="240"/>
      <c r="L32" s="163"/>
      <c r="M32" s="171"/>
    </row>
    <row r="33" ht="15.75" customHeight="1">
      <c r="A33" s="171"/>
      <c r="B33" s="196"/>
      <c r="C33" s="167"/>
      <c r="D33" s="167"/>
      <c r="E33" s="167"/>
      <c r="F33" s="167"/>
      <c r="G33" s="167"/>
      <c r="H33" s="167"/>
      <c r="I33" s="167"/>
      <c r="J33" s="167"/>
      <c r="K33" s="167"/>
      <c r="L33" s="168"/>
      <c r="M33" s="171"/>
    </row>
    <row r="34" ht="15.75" customHeight="1">
      <c r="A34" s="171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71"/>
    </row>
    <row r="35" ht="15.75" customHeight="1">
      <c r="A35" s="171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71"/>
    </row>
    <row r="36" ht="15.75" customHeight="1">
      <c r="A36" s="171"/>
      <c r="B36" s="158" t="s">
        <v>93</v>
      </c>
      <c r="D36" s="159" t="s">
        <v>111</v>
      </c>
      <c r="I36" s="156"/>
      <c r="J36" s="241" t="str">
        <f>C13</f>
        <v/>
      </c>
      <c r="K36" s="242"/>
      <c r="L36" s="243">
        <f>TODAY()</f>
        <v>46260</v>
      </c>
      <c r="M36" s="171"/>
    </row>
    <row r="37" ht="15.75" customHeight="1">
      <c r="A37" s="171"/>
      <c r="B37" s="160" t="s">
        <v>95</v>
      </c>
      <c r="C37" s="161"/>
      <c r="D37" s="244" t="s">
        <v>109</v>
      </c>
      <c r="H37" s="163"/>
      <c r="I37" s="156"/>
      <c r="J37" s="240"/>
      <c r="K37" s="84"/>
      <c r="L37" s="245"/>
      <c r="M37" s="171"/>
    </row>
    <row r="38" ht="15.75" customHeight="1">
      <c r="A38" s="171"/>
      <c r="B38" s="160" t="s">
        <v>97</v>
      </c>
      <c r="C38" s="161"/>
      <c r="D38" s="244" t="s">
        <v>110</v>
      </c>
      <c r="H38" s="163"/>
      <c r="I38" s="156"/>
      <c r="J38" s="246" t="s">
        <v>392</v>
      </c>
      <c r="K38" s="247"/>
      <c r="L38" s="248" t="s">
        <v>393</v>
      </c>
      <c r="M38" s="171"/>
    </row>
    <row r="39" ht="15.75" customHeight="1">
      <c r="A39" s="171"/>
      <c r="B39" s="160" t="s">
        <v>98</v>
      </c>
      <c r="C39" s="161"/>
      <c r="D39" s="244" t="s">
        <v>112</v>
      </c>
      <c r="H39" s="163"/>
      <c r="I39" s="156"/>
      <c r="J39" s="156"/>
      <c r="K39" s="156"/>
      <c r="L39" s="156"/>
      <c r="M39" s="171"/>
    </row>
    <row r="40" ht="15.75" customHeight="1">
      <c r="A40" s="171"/>
      <c r="B40" s="160" t="s">
        <v>100</v>
      </c>
      <c r="C40" s="161"/>
      <c r="D40" s="244" t="s">
        <v>113</v>
      </c>
      <c r="H40" s="163"/>
      <c r="I40" s="156"/>
      <c r="J40" s="241"/>
      <c r="K40" s="249"/>
      <c r="L40" s="250"/>
      <c r="M40" s="171"/>
    </row>
    <row r="41" ht="15.75" customHeight="1">
      <c r="A41" s="171"/>
      <c r="B41" s="160" t="s">
        <v>102</v>
      </c>
      <c r="C41" s="161"/>
      <c r="D41" s="244" t="s">
        <v>103</v>
      </c>
      <c r="H41" s="163"/>
      <c r="I41" s="156"/>
      <c r="J41" s="251"/>
      <c r="K41" s="171"/>
      <c r="L41" s="252"/>
      <c r="M41" s="171"/>
    </row>
    <row r="42" ht="15.75" customHeight="1">
      <c r="A42" s="171"/>
      <c r="B42" s="160" t="s">
        <v>104</v>
      </c>
      <c r="C42" s="161"/>
      <c r="D42" s="244" t="s">
        <v>105</v>
      </c>
      <c r="H42" s="163"/>
      <c r="I42" s="156"/>
      <c r="J42" s="251"/>
      <c r="K42" s="171"/>
      <c r="L42" s="252"/>
      <c r="M42" s="171"/>
    </row>
    <row r="43" ht="15.75" customHeight="1">
      <c r="A43" s="171"/>
      <c r="B43" s="164" t="s">
        <v>106</v>
      </c>
      <c r="C43" s="165"/>
      <c r="D43" s="253" t="s">
        <v>105</v>
      </c>
      <c r="E43" s="167"/>
      <c r="F43" s="167"/>
      <c r="G43" s="167"/>
      <c r="H43" s="168"/>
      <c r="I43" s="156"/>
      <c r="J43" s="254" t="s">
        <v>394</v>
      </c>
      <c r="K43" s="167"/>
      <c r="L43" s="168"/>
      <c r="M43" s="171"/>
    </row>
    <row r="44" ht="15.75" customHeight="1">
      <c r="A44" s="171"/>
      <c r="B44" s="171"/>
      <c r="C44" s="171"/>
      <c r="D44" s="171"/>
      <c r="E44" s="255"/>
      <c r="F44" s="171"/>
      <c r="G44" s="156"/>
      <c r="H44" s="156"/>
      <c r="I44" s="156"/>
      <c r="J44" s="171"/>
      <c r="K44" s="171"/>
      <c r="L44" s="171"/>
      <c r="M44" s="171"/>
    </row>
  </sheetData>
  <mergeCells count="58">
    <mergeCell ref="B42:C42"/>
    <mergeCell ref="D42:H42"/>
    <mergeCell ref="B43:C43"/>
    <mergeCell ref="D43:H43"/>
    <mergeCell ref="J43:L43"/>
    <mergeCell ref="B38:C38"/>
    <mergeCell ref="B39:C39"/>
    <mergeCell ref="D39:H39"/>
    <mergeCell ref="B40:C40"/>
    <mergeCell ref="D40:H40"/>
    <mergeCell ref="B41:C41"/>
    <mergeCell ref="D41:H41"/>
    <mergeCell ref="G11:H11"/>
    <mergeCell ref="G12:H12"/>
    <mergeCell ref="G13:H13"/>
    <mergeCell ref="G14:H14"/>
    <mergeCell ref="C12:D12"/>
    <mergeCell ref="C13:D13"/>
    <mergeCell ref="C14:D14"/>
    <mergeCell ref="C16:D16"/>
    <mergeCell ref="E16:G16"/>
    <mergeCell ref="C17:D17"/>
    <mergeCell ref="E17:G17"/>
    <mergeCell ref="K2:L2"/>
    <mergeCell ref="K3:L4"/>
    <mergeCell ref="B7:L8"/>
    <mergeCell ref="B10:D10"/>
    <mergeCell ref="F10:H10"/>
    <mergeCell ref="C11:D11"/>
    <mergeCell ref="K12:L12"/>
    <mergeCell ref="J10:L10"/>
    <mergeCell ref="J11:L11"/>
    <mergeCell ref="K13:L13"/>
    <mergeCell ref="K14:L14"/>
    <mergeCell ref="K16:L16"/>
    <mergeCell ref="I17:J17"/>
    <mergeCell ref="K17:L17"/>
    <mergeCell ref="I18:J18"/>
    <mergeCell ref="K18:L18"/>
    <mergeCell ref="I20:J20"/>
    <mergeCell ref="K20:L20"/>
    <mergeCell ref="I21:J21"/>
    <mergeCell ref="K21:L21"/>
    <mergeCell ref="C23:L23"/>
    <mergeCell ref="C24:L24"/>
    <mergeCell ref="C25:L25"/>
    <mergeCell ref="C26:L26"/>
    <mergeCell ref="C27:L27"/>
    <mergeCell ref="B29:L29"/>
    <mergeCell ref="B30:L33"/>
    <mergeCell ref="B36:C36"/>
    <mergeCell ref="D36:H36"/>
    <mergeCell ref="J36:K37"/>
    <mergeCell ref="L36:L37"/>
    <mergeCell ref="B37:C37"/>
    <mergeCell ref="D37:H37"/>
    <mergeCell ref="D38:H38"/>
    <mergeCell ref="J38:K38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38"/>
    <col customWidth="1" min="2" max="2" width="33.25"/>
    <col customWidth="1" min="3" max="3" width="14.0"/>
    <col customWidth="1" min="4" max="4" width="22.75"/>
    <col customWidth="1" min="5" max="5" width="48.13"/>
    <col customWidth="1" min="6" max="6" width="11.38"/>
    <col customWidth="1" min="7" max="26" width="7.63"/>
  </cols>
  <sheetData>
    <row r="1" ht="37.5" customHeight="1">
      <c r="A1" s="174" t="s">
        <v>119</v>
      </c>
      <c r="B1" s="175"/>
      <c r="C1" s="175"/>
      <c r="D1" s="175"/>
      <c r="E1" s="175"/>
      <c r="F1" s="177"/>
    </row>
    <row r="2" ht="15.75" customHeight="1">
      <c r="A2" s="178" t="s">
        <v>123</v>
      </c>
      <c r="B2" s="175"/>
      <c r="C2" s="175"/>
      <c r="D2" s="175"/>
      <c r="E2" s="175"/>
      <c r="F2" s="177"/>
    </row>
    <row r="3" ht="24.0" customHeight="1">
      <c r="A3" s="180" t="s">
        <v>124</v>
      </c>
      <c r="B3" s="180" t="s">
        <v>125</v>
      </c>
      <c r="C3" s="180" t="s">
        <v>126</v>
      </c>
      <c r="D3" s="180" t="s">
        <v>127</v>
      </c>
      <c r="E3" s="180" t="s">
        <v>128</v>
      </c>
      <c r="F3" s="180" t="s">
        <v>129</v>
      </c>
    </row>
    <row r="4" ht="19.5" customHeight="1">
      <c r="A4" s="181" t="s">
        <v>130</v>
      </c>
      <c r="B4" s="175"/>
      <c r="C4" s="175"/>
      <c r="D4" s="175"/>
      <c r="E4" s="175"/>
      <c r="F4" s="177"/>
    </row>
    <row r="5" ht="42.0" customHeight="1">
      <c r="A5" s="183">
        <v>1.0</v>
      </c>
      <c r="B5" s="184" t="s">
        <v>133</v>
      </c>
      <c r="C5" s="183" t="s">
        <v>135</v>
      </c>
      <c r="D5" s="183" t="s">
        <v>136</v>
      </c>
      <c r="E5" s="186" t="s">
        <v>137</v>
      </c>
      <c r="F5" s="187" t="s">
        <v>139</v>
      </c>
    </row>
    <row r="6" ht="42.0" customHeight="1">
      <c r="A6" s="189">
        <v>2.0</v>
      </c>
      <c r="B6" s="190" t="s">
        <v>145</v>
      </c>
      <c r="C6" s="189" t="s">
        <v>135</v>
      </c>
      <c r="D6" s="189" t="s">
        <v>148</v>
      </c>
      <c r="E6" s="191" t="s">
        <v>149</v>
      </c>
      <c r="F6" s="187" t="s">
        <v>139</v>
      </c>
    </row>
    <row r="7" ht="42.0" customHeight="1">
      <c r="A7" s="183">
        <v>3.0</v>
      </c>
      <c r="B7" s="184" t="s">
        <v>162</v>
      </c>
      <c r="C7" s="183" t="s">
        <v>135</v>
      </c>
      <c r="D7" s="183" t="s">
        <v>166</v>
      </c>
      <c r="E7" s="186" t="s">
        <v>167</v>
      </c>
      <c r="F7" s="194" t="s">
        <v>169</v>
      </c>
    </row>
    <row r="8" ht="42.0" customHeight="1">
      <c r="A8" s="189">
        <v>4.0</v>
      </c>
      <c r="B8" s="190" t="s">
        <v>173</v>
      </c>
      <c r="C8" s="189" t="s">
        <v>135</v>
      </c>
      <c r="D8" s="189" t="s">
        <v>174</v>
      </c>
      <c r="E8" s="191" t="s">
        <v>175</v>
      </c>
      <c r="F8" s="194" t="s">
        <v>169</v>
      </c>
    </row>
    <row r="9" ht="19.5" customHeight="1">
      <c r="A9" s="181" t="s">
        <v>177</v>
      </c>
      <c r="B9" s="175"/>
      <c r="C9" s="175"/>
      <c r="D9" s="175"/>
      <c r="E9" s="175"/>
      <c r="F9" s="177"/>
    </row>
    <row r="10" ht="42.0" customHeight="1">
      <c r="A10" s="183">
        <v>5.0</v>
      </c>
      <c r="B10" s="184" t="s">
        <v>181</v>
      </c>
      <c r="C10" s="183" t="s">
        <v>183</v>
      </c>
      <c r="D10" s="183" t="s">
        <v>184</v>
      </c>
      <c r="E10" s="186" t="s">
        <v>185</v>
      </c>
      <c r="F10" s="187" t="s">
        <v>139</v>
      </c>
    </row>
    <row r="11" ht="42.0" customHeight="1">
      <c r="A11" s="189">
        <v>6.0</v>
      </c>
      <c r="B11" s="190" t="s">
        <v>187</v>
      </c>
      <c r="C11" s="189" t="s">
        <v>183</v>
      </c>
      <c r="D11" s="189" t="s">
        <v>184</v>
      </c>
      <c r="E11" s="191" t="s">
        <v>189</v>
      </c>
      <c r="F11" s="187" t="s">
        <v>139</v>
      </c>
    </row>
    <row r="12" ht="42.0" customHeight="1">
      <c r="A12" s="183">
        <v>7.0</v>
      </c>
      <c r="B12" s="184" t="s">
        <v>192</v>
      </c>
      <c r="C12" s="183" t="s">
        <v>183</v>
      </c>
      <c r="D12" s="183" t="s">
        <v>184</v>
      </c>
      <c r="E12" s="186" t="s">
        <v>196</v>
      </c>
      <c r="F12" s="194" t="s">
        <v>169</v>
      </c>
    </row>
    <row r="13" ht="42.0" customHeight="1">
      <c r="A13" s="189">
        <v>8.0</v>
      </c>
      <c r="B13" s="190" t="s">
        <v>197</v>
      </c>
      <c r="C13" s="189" t="s">
        <v>183</v>
      </c>
      <c r="D13" s="189" t="s">
        <v>184</v>
      </c>
      <c r="E13" s="191" t="s">
        <v>199</v>
      </c>
      <c r="F13" s="199" t="s">
        <v>198</v>
      </c>
    </row>
    <row r="14" ht="19.5" customHeight="1">
      <c r="A14" s="181" t="s">
        <v>201</v>
      </c>
      <c r="B14" s="175"/>
      <c r="C14" s="175"/>
      <c r="D14" s="175"/>
      <c r="E14" s="175"/>
      <c r="F14" s="177"/>
    </row>
    <row r="15" ht="42.0" customHeight="1">
      <c r="A15" s="183">
        <v>9.0</v>
      </c>
      <c r="B15" s="184" t="s">
        <v>202</v>
      </c>
      <c r="C15" s="183" t="s">
        <v>203</v>
      </c>
      <c r="D15" s="183" t="s">
        <v>204</v>
      </c>
      <c r="E15" s="186" t="s">
        <v>205</v>
      </c>
      <c r="F15" s="187" t="s">
        <v>139</v>
      </c>
    </row>
    <row r="16" ht="42.0" customHeight="1">
      <c r="A16" s="189">
        <v>10.0</v>
      </c>
      <c r="B16" s="190" t="s">
        <v>206</v>
      </c>
      <c r="C16" s="189" t="s">
        <v>203</v>
      </c>
      <c r="D16" s="189" t="s">
        <v>204</v>
      </c>
      <c r="E16" s="191" t="s">
        <v>207</v>
      </c>
      <c r="F16" s="194" t="s">
        <v>169</v>
      </c>
    </row>
    <row r="17" ht="42.0" customHeight="1">
      <c r="A17" s="183">
        <v>11.0</v>
      </c>
      <c r="B17" s="184" t="s">
        <v>209</v>
      </c>
      <c r="C17" s="183" t="s">
        <v>203</v>
      </c>
      <c r="D17" s="183" t="s">
        <v>204</v>
      </c>
      <c r="E17" s="186" t="s">
        <v>211</v>
      </c>
      <c r="F17" s="194" t="s">
        <v>169</v>
      </c>
    </row>
    <row r="18" ht="42.0" customHeight="1">
      <c r="A18" s="189">
        <v>12.0</v>
      </c>
      <c r="B18" s="190" t="s">
        <v>213</v>
      </c>
      <c r="C18" s="189" t="s">
        <v>203</v>
      </c>
      <c r="D18" s="189" t="s">
        <v>204</v>
      </c>
      <c r="E18" s="191" t="s">
        <v>215</v>
      </c>
      <c r="F18" s="199" t="s">
        <v>198</v>
      </c>
    </row>
    <row r="19" ht="19.5" customHeight="1">
      <c r="A19" s="181" t="s">
        <v>217</v>
      </c>
      <c r="B19" s="175"/>
      <c r="C19" s="175"/>
      <c r="D19" s="175"/>
      <c r="E19" s="175"/>
      <c r="F19" s="177"/>
    </row>
    <row r="20" ht="42.0" customHeight="1">
      <c r="A20" s="183">
        <v>13.0</v>
      </c>
      <c r="B20" s="184" t="s">
        <v>218</v>
      </c>
      <c r="C20" s="183" t="s">
        <v>219</v>
      </c>
      <c r="D20" s="183" t="s">
        <v>204</v>
      </c>
      <c r="E20" s="186" t="s">
        <v>220</v>
      </c>
      <c r="F20" s="187" t="s">
        <v>139</v>
      </c>
    </row>
    <row r="21" ht="42.0" customHeight="1">
      <c r="A21" s="189">
        <v>14.0</v>
      </c>
      <c r="B21" s="190" t="s">
        <v>223</v>
      </c>
      <c r="C21" s="189" t="s">
        <v>219</v>
      </c>
      <c r="D21" s="189" t="s">
        <v>204</v>
      </c>
      <c r="E21" s="191" t="s">
        <v>226</v>
      </c>
      <c r="F21" s="187" t="s">
        <v>139</v>
      </c>
    </row>
    <row r="22" ht="42.0" customHeight="1">
      <c r="A22" s="183">
        <v>15.0</v>
      </c>
      <c r="B22" s="184" t="s">
        <v>228</v>
      </c>
      <c r="C22" s="183" t="s">
        <v>219</v>
      </c>
      <c r="D22" s="183" t="s">
        <v>204</v>
      </c>
      <c r="E22" s="186" t="s">
        <v>229</v>
      </c>
      <c r="F22" s="194" t="s">
        <v>169</v>
      </c>
    </row>
    <row r="23" ht="42.0" customHeight="1">
      <c r="A23" s="189">
        <v>16.0</v>
      </c>
      <c r="B23" s="190" t="s">
        <v>231</v>
      </c>
      <c r="C23" s="189" t="s">
        <v>219</v>
      </c>
      <c r="D23" s="189" t="s">
        <v>204</v>
      </c>
      <c r="E23" s="191" t="s">
        <v>233</v>
      </c>
      <c r="F23" s="199" t="s">
        <v>198</v>
      </c>
    </row>
    <row r="24" ht="19.5" customHeight="1">
      <c r="A24" s="181" t="s">
        <v>235</v>
      </c>
      <c r="B24" s="175"/>
      <c r="C24" s="175"/>
      <c r="D24" s="175"/>
      <c r="E24" s="175"/>
      <c r="F24" s="177"/>
    </row>
    <row r="25" ht="42.0" customHeight="1">
      <c r="A25" s="183">
        <v>17.0</v>
      </c>
      <c r="B25" s="184" t="s">
        <v>240</v>
      </c>
      <c r="C25" s="183" t="s">
        <v>241</v>
      </c>
      <c r="D25" s="183" t="s">
        <v>242</v>
      </c>
      <c r="E25" s="186" t="s">
        <v>244</v>
      </c>
      <c r="F25" s="187" t="s">
        <v>139</v>
      </c>
    </row>
    <row r="26" ht="42.0" customHeight="1">
      <c r="A26" s="189">
        <v>18.0</v>
      </c>
      <c r="B26" s="190" t="s">
        <v>246</v>
      </c>
      <c r="C26" s="189" t="s">
        <v>241</v>
      </c>
      <c r="D26" s="189" t="s">
        <v>248</v>
      </c>
      <c r="E26" s="191" t="s">
        <v>250</v>
      </c>
      <c r="F26" s="187" t="s">
        <v>139</v>
      </c>
    </row>
    <row r="27" ht="42.0" customHeight="1">
      <c r="A27" s="183">
        <v>19.0</v>
      </c>
      <c r="B27" s="184" t="s">
        <v>251</v>
      </c>
      <c r="C27" s="183" t="s">
        <v>241</v>
      </c>
      <c r="D27" s="183" t="s">
        <v>248</v>
      </c>
      <c r="E27" s="186" t="s">
        <v>252</v>
      </c>
      <c r="F27" s="187" t="s">
        <v>139</v>
      </c>
    </row>
    <row r="28" ht="42.0" customHeight="1">
      <c r="A28" s="189">
        <v>20.0</v>
      </c>
      <c r="B28" s="190" t="s">
        <v>253</v>
      </c>
      <c r="C28" s="189" t="s">
        <v>241</v>
      </c>
      <c r="D28" s="189" t="s">
        <v>242</v>
      </c>
      <c r="E28" s="191" t="s">
        <v>254</v>
      </c>
      <c r="F28" s="194" t="s">
        <v>169</v>
      </c>
    </row>
    <row r="29" ht="42.0" customHeight="1">
      <c r="A29" s="183">
        <v>21.0</v>
      </c>
      <c r="B29" s="184" t="s">
        <v>256</v>
      </c>
      <c r="C29" s="183" t="s">
        <v>241</v>
      </c>
      <c r="D29" s="183" t="s">
        <v>242</v>
      </c>
      <c r="E29" s="186" t="s">
        <v>257</v>
      </c>
      <c r="F29" s="199" t="s">
        <v>198</v>
      </c>
    </row>
    <row r="30" ht="19.5" customHeight="1">
      <c r="A30" s="181" t="s">
        <v>259</v>
      </c>
      <c r="B30" s="175"/>
      <c r="C30" s="175"/>
      <c r="D30" s="175"/>
      <c r="E30" s="175"/>
      <c r="F30" s="177"/>
    </row>
    <row r="31" ht="42.0" customHeight="1">
      <c r="A31" s="189">
        <v>22.0</v>
      </c>
      <c r="B31" s="190" t="s">
        <v>265</v>
      </c>
      <c r="C31" s="189" t="s">
        <v>267</v>
      </c>
      <c r="D31" s="189" t="s">
        <v>268</v>
      </c>
      <c r="E31" s="191" t="s">
        <v>269</v>
      </c>
      <c r="F31" s="187" t="s">
        <v>139</v>
      </c>
    </row>
    <row r="32" ht="42.0" customHeight="1">
      <c r="A32" s="183">
        <v>23.0</v>
      </c>
      <c r="B32" s="184" t="s">
        <v>273</v>
      </c>
      <c r="C32" s="183" t="s">
        <v>267</v>
      </c>
      <c r="D32" s="183" t="s">
        <v>268</v>
      </c>
      <c r="E32" s="186" t="s">
        <v>274</v>
      </c>
      <c r="F32" s="187" t="s">
        <v>139</v>
      </c>
    </row>
    <row r="33" ht="42.0" customHeight="1">
      <c r="A33" s="189">
        <v>24.0</v>
      </c>
      <c r="B33" s="190" t="s">
        <v>276</v>
      </c>
      <c r="C33" s="189" t="s">
        <v>278</v>
      </c>
      <c r="D33" s="189" t="s">
        <v>280</v>
      </c>
      <c r="E33" s="191" t="s">
        <v>282</v>
      </c>
      <c r="F33" s="187" t="s">
        <v>139</v>
      </c>
    </row>
    <row r="34" ht="42.0" customHeight="1">
      <c r="A34" s="183">
        <v>25.0</v>
      </c>
      <c r="B34" s="184" t="s">
        <v>283</v>
      </c>
      <c r="C34" s="183" t="s">
        <v>267</v>
      </c>
      <c r="D34" s="183" t="s">
        <v>268</v>
      </c>
      <c r="E34" s="186" t="s">
        <v>286</v>
      </c>
      <c r="F34" s="194" t="s">
        <v>169</v>
      </c>
    </row>
    <row r="35" ht="42.0" customHeight="1">
      <c r="A35" s="189">
        <v>26.0</v>
      </c>
      <c r="B35" s="190" t="s">
        <v>289</v>
      </c>
      <c r="C35" s="189" t="s">
        <v>278</v>
      </c>
      <c r="D35" s="189" t="s">
        <v>280</v>
      </c>
      <c r="E35" s="191" t="s">
        <v>290</v>
      </c>
      <c r="F35" s="199" t="s">
        <v>198</v>
      </c>
    </row>
    <row r="36" ht="19.5" customHeight="1">
      <c r="A36" s="181" t="s">
        <v>292</v>
      </c>
      <c r="B36" s="175"/>
      <c r="C36" s="175"/>
      <c r="D36" s="175"/>
      <c r="E36" s="175"/>
      <c r="F36" s="177"/>
    </row>
    <row r="37" ht="42.0" customHeight="1">
      <c r="A37" s="183">
        <v>27.0</v>
      </c>
      <c r="B37" s="184" t="s">
        <v>295</v>
      </c>
      <c r="C37" s="183" t="s">
        <v>297</v>
      </c>
      <c r="D37" s="183" t="s">
        <v>298</v>
      </c>
      <c r="E37" s="186" t="s">
        <v>300</v>
      </c>
      <c r="F37" s="187" t="s">
        <v>139</v>
      </c>
    </row>
    <row r="38" ht="42.0" customHeight="1">
      <c r="A38" s="189">
        <v>28.0</v>
      </c>
      <c r="B38" s="190" t="s">
        <v>302</v>
      </c>
      <c r="C38" s="189" t="s">
        <v>297</v>
      </c>
      <c r="D38" s="189" t="s">
        <v>304</v>
      </c>
      <c r="E38" s="191" t="s">
        <v>305</v>
      </c>
      <c r="F38" s="187" t="s">
        <v>139</v>
      </c>
    </row>
    <row r="39" ht="42.0" customHeight="1">
      <c r="A39" s="183">
        <v>29.0</v>
      </c>
      <c r="B39" s="184" t="s">
        <v>308</v>
      </c>
      <c r="C39" s="183" t="s">
        <v>297</v>
      </c>
      <c r="D39" s="183" t="s">
        <v>298</v>
      </c>
      <c r="E39" s="186" t="s">
        <v>310</v>
      </c>
      <c r="F39" s="194" t="s">
        <v>169</v>
      </c>
    </row>
    <row r="40" ht="42.0" customHeight="1">
      <c r="A40" s="189">
        <v>30.0</v>
      </c>
      <c r="B40" s="190" t="s">
        <v>312</v>
      </c>
      <c r="C40" s="189" t="s">
        <v>297</v>
      </c>
      <c r="D40" s="189" t="s">
        <v>304</v>
      </c>
      <c r="E40" s="191" t="s">
        <v>315</v>
      </c>
      <c r="F40" s="199" t="s">
        <v>198</v>
      </c>
    </row>
    <row r="41" ht="19.5" customHeight="1">
      <c r="A41" s="181" t="s">
        <v>317</v>
      </c>
      <c r="B41" s="175"/>
      <c r="C41" s="175"/>
      <c r="D41" s="175"/>
      <c r="E41" s="175"/>
      <c r="F41" s="177"/>
    </row>
    <row r="42" ht="42.0" customHeight="1">
      <c r="A42" s="183">
        <v>31.0</v>
      </c>
      <c r="B42" s="184" t="s">
        <v>322</v>
      </c>
      <c r="C42" s="183" t="s">
        <v>323</v>
      </c>
      <c r="D42" s="183" t="s">
        <v>324</v>
      </c>
      <c r="E42" s="186" t="s">
        <v>325</v>
      </c>
      <c r="F42" s="187" t="s">
        <v>139</v>
      </c>
    </row>
    <row r="43" ht="42.0" customHeight="1">
      <c r="A43" s="189">
        <v>32.0</v>
      </c>
      <c r="B43" s="190" t="s">
        <v>326</v>
      </c>
      <c r="C43" s="189" t="s">
        <v>327</v>
      </c>
      <c r="D43" s="189" t="s">
        <v>328</v>
      </c>
      <c r="E43" s="191" t="s">
        <v>329</v>
      </c>
      <c r="F43" s="187" t="s">
        <v>139</v>
      </c>
    </row>
    <row r="44" ht="42.0" customHeight="1">
      <c r="A44" s="183">
        <v>33.0</v>
      </c>
      <c r="B44" s="184" t="s">
        <v>330</v>
      </c>
      <c r="C44" s="183" t="s">
        <v>323</v>
      </c>
      <c r="D44" s="183" t="s">
        <v>332</v>
      </c>
      <c r="E44" s="186" t="s">
        <v>333</v>
      </c>
      <c r="F44" s="187" t="s">
        <v>139</v>
      </c>
    </row>
    <row r="45" ht="42.0" customHeight="1">
      <c r="A45" s="189">
        <v>34.0</v>
      </c>
      <c r="B45" s="190" t="s">
        <v>336</v>
      </c>
      <c r="C45" s="189" t="s">
        <v>327</v>
      </c>
      <c r="D45" s="189" t="s">
        <v>328</v>
      </c>
      <c r="E45" s="191" t="s">
        <v>338</v>
      </c>
      <c r="F45" s="194" t="s">
        <v>169</v>
      </c>
    </row>
    <row r="46" ht="19.5" customHeight="1">
      <c r="A46" s="181" t="s">
        <v>339</v>
      </c>
      <c r="B46" s="175"/>
      <c r="C46" s="175"/>
      <c r="D46" s="175"/>
      <c r="E46" s="175"/>
      <c r="F46" s="177"/>
    </row>
    <row r="47" ht="42.0" customHeight="1">
      <c r="A47" s="183">
        <v>35.0</v>
      </c>
      <c r="B47" s="184" t="s">
        <v>344</v>
      </c>
      <c r="C47" s="183" t="s">
        <v>346</v>
      </c>
      <c r="D47" s="183" t="s">
        <v>332</v>
      </c>
      <c r="E47" s="186" t="s">
        <v>347</v>
      </c>
      <c r="F47" s="187" t="s">
        <v>139</v>
      </c>
    </row>
    <row r="48" ht="42.0" customHeight="1">
      <c r="A48" s="189">
        <v>36.0</v>
      </c>
      <c r="B48" s="190" t="s">
        <v>348</v>
      </c>
      <c r="C48" s="189" t="s">
        <v>346</v>
      </c>
      <c r="D48" s="189" t="s">
        <v>332</v>
      </c>
      <c r="E48" s="191" t="s">
        <v>352</v>
      </c>
      <c r="F48" s="187" t="s">
        <v>139</v>
      </c>
    </row>
    <row r="49" ht="42.0" customHeight="1">
      <c r="A49" s="183">
        <v>37.0</v>
      </c>
      <c r="B49" s="184" t="s">
        <v>354</v>
      </c>
      <c r="C49" s="183" t="s">
        <v>346</v>
      </c>
      <c r="D49" s="183" t="s">
        <v>332</v>
      </c>
      <c r="E49" s="186" t="s">
        <v>356</v>
      </c>
      <c r="F49" s="187" t="s">
        <v>139</v>
      </c>
    </row>
    <row r="50" ht="42.0" customHeight="1">
      <c r="A50" s="189">
        <v>38.0</v>
      </c>
      <c r="B50" s="190" t="s">
        <v>358</v>
      </c>
      <c r="C50" s="189" t="s">
        <v>346</v>
      </c>
      <c r="D50" s="189" t="s">
        <v>332</v>
      </c>
      <c r="E50" s="191" t="s">
        <v>360</v>
      </c>
      <c r="F50" s="194" t="s">
        <v>169</v>
      </c>
    </row>
    <row r="51" ht="19.5" customHeight="1">
      <c r="A51" s="181" t="s">
        <v>362</v>
      </c>
      <c r="B51" s="175"/>
      <c r="C51" s="175"/>
      <c r="D51" s="175"/>
      <c r="E51" s="175"/>
      <c r="F51" s="177"/>
    </row>
    <row r="52" ht="42.0" customHeight="1">
      <c r="A52" s="183">
        <v>39.0</v>
      </c>
      <c r="B52" s="184" t="s">
        <v>364</v>
      </c>
      <c r="C52" s="183" t="s">
        <v>365</v>
      </c>
      <c r="D52" s="183" t="s">
        <v>204</v>
      </c>
      <c r="E52" s="186" t="s">
        <v>366</v>
      </c>
      <c r="F52" s="187" t="s">
        <v>139</v>
      </c>
    </row>
    <row r="53" ht="42.0" customHeight="1">
      <c r="A53" s="189">
        <v>40.0</v>
      </c>
      <c r="B53" s="190" t="s">
        <v>367</v>
      </c>
      <c r="C53" s="189" t="s">
        <v>365</v>
      </c>
      <c r="D53" s="189" t="s">
        <v>204</v>
      </c>
      <c r="E53" s="191" t="s">
        <v>368</v>
      </c>
      <c r="F53" s="194" t="s">
        <v>169</v>
      </c>
    </row>
    <row r="54" ht="42.0" customHeight="1">
      <c r="A54" s="183">
        <v>41.0</v>
      </c>
      <c r="B54" s="184" t="s">
        <v>369</v>
      </c>
      <c r="C54" s="183" t="s">
        <v>365</v>
      </c>
      <c r="D54" s="183" t="s">
        <v>204</v>
      </c>
      <c r="E54" s="186" t="s">
        <v>370</v>
      </c>
      <c r="F54" s="199" t="s">
        <v>198</v>
      </c>
    </row>
    <row r="55" ht="19.5" customHeight="1">
      <c r="A55" s="181" t="s">
        <v>371</v>
      </c>
      <c r="B55" s="175"/>
      <c r="C55" s="175"/>
      <c r="D55" s="175"/>
      <c r="E55" s="175"/>
      <c r="F55" s="177"/>
    </row>
    <row r="56" ht="42.0" customHeight="1">
      <c r="A56" s="189">
        <v>42.0</v>
      </c>
      <c r="B56" s="190" t="s">
        <v>372</v>
      </c>
      <c r="C56" s="189" t="s">
        <v>373</v>
      </c>
      <c r="D56" s="189" t="s">
        <v>374</v>
      </c>
      <c r="E56" s="191" t="s">
        <v>375</v>
      </c>
      <c r="F56" s="187" t="s">
        <v>139</v>
      </c>
    </row>
    <row r="57" ht="42.0" customHeight="1">
      <c r="A57" s="183">
        <v>43.0</v>
      </c>
      <c r="B57" s="184" t="s">
        <v>376</v>
      </c>
      <c r="C57" s="183" t="s">
        <v>373</v>
      </c>
      <c r="D57" s="183" t="s">
        <v>374</v>
      </c>
      <c r="E57" s="186" t="s">
        <v>377</v>
      </c>
      <c r="F57" s="187" t="s">
        <v>139</v>
      </c>
    </row>
    <row r="58" ht="42.0" customHeight="1">
      <c r="A58" s="189">
        <v>44.0</v>
      </c>
      <c r="B58" s="190" t="s">
        <v>378</v>
      </c>
      <c r="C58" s="189" t="s">
        <v>373</v>
      </c>
      <c r="D58" s="189" t="s">
        <v>374</v>
      </c>
      <c r="E58" s="191" t="s">
        <v>379</v>
      </c>
      <c r="F58" s="194" t="s">
        <v>169</v>
      </c>
    </row>
    <row r="59"/>
    <row r="60" ht="18.0" customHeight="1">
      <c r="A60" s="211" t="s">
        <v>361</v>
      </c>
      <c r="B60" s="175"/>
      <c r="C60" s="175"/>
      <c r="D60" s="175"/>
      <c r="E60" s="175"/>
      <c r="F60" s="177"/>
    </row>
    <row r="61" ht="18.0" customHeight="1">
      <c r="A61" s="213" t="s">
        <v>380</v>
      </c>
      <c r="B61" s="216" t="s">
        <v>381</v>
      </c>
      <c r="C61" s="175"/>
      <c r="D61" s="175"/>
      <c r="E61" s="175"/>
      <c r="F61" s="177"/>
    </row>
    <row r="62" ht="18.0" customHeight="1">
      <c r="A62" s="219" t="s">
        <v>382</v>
      </c>
      <c r="B62" s="216" t="s">
        <v>383</v>
      </c>
      <c r="C62" s="175"/>
      <c r="D62" s="175"/>
      <c r="E62" s="175"/>
      <c r="F62" s="177"/>
    </row>
    <row r="63" ht="18.0" customHeight="1">
      <c r="A63" s="221" t="s">
        <v>384</v>
      </c>
      <c r="B63" s="216" t="s">
        <v>385</v>
      </c>
      <c r="C63" s="175"/>
      <c r="D63" s="175"/>
      <c r="E63" s="175"/>
      <c r="F63" s="177"/>
    </row>
    <row r="64"/>
    <row r="65" ht="39.75" customHeight="1">
      <c r="A65" s="224" t="s">
        <v>387</v>
      </c>
      <c r="B65" s="175"/>
      <c r="C65" s="175"/>
      <c r="D65" s="175"/>
      <c r="E65" s="175"/>
      <c r="F65" s="177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8">
    <mergeCell ref="A1:F1"/>
    <mergeCell ref="A2:F2"/>
    <mergeCell ref="A4:F4"/>
    <mergeCell ref="A9:F9"/>
    <mergeCell ref="A14:F14"/>
    <mergeCell ref="A19:F19"/>
    <mergeCell ref="A24:F24"/>
    <mergeCell ref="B61:F61"/>
    <mergeCell ref="B62:F62"/>
    <mergeCell ref="B63:F63"/>
    <mergeCell ref="A65:F65"/>
    <mergeCell ref="A30:F30"/>
    <mergeCell ref="A36:F36"/>
    <mergeCell ref="A41:F41"/>
    <mergeCell ref="A46:F46"/>
    <mergeCell ref="A51:F51"/>
    <mergeCell ref="A55:F55"/>
    <mergeCell ref="A60:F6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38"/>
    <col customWidth="1" min="2" max="2" width="22.75"/>
    <col customWidth="1" min="3" max="3" width="17.5"/>
    <col customWidth="1" min="4" max="4" width="28.0"/>
    <col customWidth="1" min="5" max="5" width="39.38"/>
    <col customWidth="1" min="6" max="6" width="11.38"/>
    <col customWidth="1" min="7" max="26" width="7.63"/>
  </cols>
  <sheetData>
    <row r="1" ht="37.5" customHeight="1">
      <c r="A1" s="174" t="s">
        <v>131</v>
      </c>
      <c r="B1" s="175"/>
      <c r="C1" s="175"/>
      <c r="D1" s="175"/>
      <c r="E1" s="175"/>
      <c r="F1" s="177"/>
    </row>
    <row r="2" ht="15.75" customHeight="1">
      <c r="A2" s="178" t="s">
        <v>140</v>
      </c>
      <c r="B2" s="175"/>
      <c r="C2" s="175"/>
      <c r="D2" s="175"/>
      <c r="E2" s="175"/>
      <c r="F2" s="177"/>
    </row>
    <row r="3" ht="24.0" customHeight="1">
      <c r="A3" s="180" t="s">
        <v>124</v>
      </c>
      <c r="B3" s="180" t="s">
        <v>141</v>
      </c>
      <c r="C3" s="180" t="s">
        <v>142</v>
      </c>
      <c r="D3" s="180" t="s">
        <v>143</v>
      </c>
      <c r="E3" s="180" t="s">
        <v>144</v>
      </c>
      <c r="F3" s="180" t="s">
        <v>129</v>
      </c>
    </row>
    <row r="4" ht="19.5" customHeight="1">
      <c r="A4" s="181" t="s">
        <v>146</v>
      </c>
      <c r="B4" s="175"/>
      <c r="C4" s="175"/>
      <c r="D4" s="175"/>
      <c r="E4" s="175"/>
      <c r="F4" s="177"/>
    </row>
    <row r="5" ht="42.0" customHeight="1">
      <c r="A5" s="183">
        <v>1.0</v>
      </c>
      <c r="B5" s="184" t="s">
        <v>150</v>
      </c>
      <c r="C5" s="183" t="s">
        <v>151</v>
      </c>
      <c r="D5" s="183" t="s">
        <v>152</v>
      </c>
      <c r="E5" s="186" t="s">
        <v>153</v>
      </c>
      <c r="F5" s="187" t="s">
        <v>139</v>
      </c>
    </row>
    <row r="6" ht="42.0" customHeight="1">
      <c r="A6" s="189">
        <v>2.0</v>
      </c>
      <c r="B6" s="190" t="s">
        <v>154</v>
      </c>
      <c r="C6" s="189" t="s">
        <v>155</v>
      </c>
      <c r="D6" s="189" t="s">
        <v>156</v>
      </c>
      <c r="E6" s="191" t="s">
        <v>157</v>
      </c>
      <c r="F6" s="187" t="s">
        <v>139</v>
      </c>
    </row>
    <row r="7" ht="42.0" customHeight="1">
      <c r="A7" s="183">
        <v>3.0</v>
      </c>
      <c r="B7" s="184" t="s">
        <v>158</v>
      </c>
      <c r="C7" s="183" t="s">
        <v>155</v>
      </c>
      <c r="D7" s="183" t="s">
        <v>159</v>
      </c>
      <c r="E7" s="186" t="s">
        <v>160</v>
      </c>
      <c r="F7" s="187" t="s">
        <v>139</v>
      </c>
    </row>
    <row r="8" ht="42.0" customHeight="1">
      <c r="A8" s="189">
        <v>4.0</v>
      </c>
      <c r="B8" s="190" t="s">
        <v>161</v>
      </c>
      <c r="C8" s="189" t="s">
        <v>163</v>
      </c>
      <c r="D8" s="189" t="s">
        <v>164</v>
      </c>
      <c r="E8" s="191" t="s">
        <v>165</v>
      </c>
      <c r="F8" s="187" t="s">
        <v>139</v>
      </c>
    </row>
    <row r="9" ht="42.0" customHeight="1">
      <c r="A9" s="183">
        <v>5.0</v>
      </c>
      <c r="B9" s="184" t="s">
        <v>168</v>
      </c>
      <c r="C9" s="183" t="s">
        <v>163</v>
      </c>
      <c r="D9" s="183" t="s">
        <v>170</v>
      </c>
      <c r="E9" s="186" t="s">
        <v>171</v>
      </c>
      <c r="F9" s="194" t="s">
        <v>169</v>
      </c>
    </row>
    <row r="10" ht="19.5" customHeight="1">
      <c r="A10" s="181" t="s">
        <v>172</v>
      </c>
      <c r="B10" s="175"/>
      <c r="C10" s="175"/>
      <c r="D10" s="175"/>
      <c r="E10" s="175"/>
      <c r="F10" s="177"/>
    </row>
    <row r="11" ht="42.0" customHeight="1">
      <c r="A11" s="189">
        <v>6.0</v>
      </c>
      <c r="B11" s="190" t="s">
        <v>176</v>
      </c>
      <c r="C11" s="189" t="s">
        <v>178</v>
      </c>
      <c r="D11" s="189" t="s">
        <v>179</v>
      </c>
      <c r="E11" s="191" t="s">
        <v>180</v>
      </c>
      <c r="F11" s="187" t="s">
        <v>139</v>
      </c>
    </row>
    <row r="12" ht="42.0" customHeight="1">
      <c r="A12" s="183">
        <v>7.0</v>
      </c>
      <c r="B12" s="184" t="s">
        <v>182</v>
      </c>
      <c r="C12" s="183" t="s">
        <v>178</v>
      </c>
      <c r="D12" s="183" t="s">
        <v>179</v>
      </c>
      <c r="E12" s="186" t="s">
        <v>186</v>
      </c>
      <c r="F12" s="187" t="s">
        <v>139</v>
      </c>
    </row>
    <row r="13" ht="42.0" customHeight="1">
      <c r="A13" s="189">
        <v>8.0</v>
      </c>
      <c r="B13" s="190" t="s">
        <v>188</v>
      </c>
      <c r="C13" s="189" t="s">
        <v>178</v>
      </c>
      <c r="D13" s="189" t="s">
        <v>190</v>
      </c>
      <c r="E13" s="191" t="s">
        <v>191</v>
      </c>
      <c r="F13" s="194" t="s">
        <v>169</v>
      </c>
    </row>
    <row r="14" ht="42.0" customHeight="1">
      <c r="A14" s="183">
        <v>9.0</v>
      </c>
      <c r="B14" s="184" t="s">
        <v>193</v>
      </c>
      <c r="C14" s="183" t="s">
        <v>178</v>
      </c>
      <c r="D14" s="183" t="s">
        <v>194</v>
      </c>
      <c r="E14" s="186" t="s">
        <v>195</v>
      </c>
      <c r="F14" s="199" t="s">
        <v>198</v>
      </c>
    </row>
    <row r="15" ht="42.0" customHeight="1">
      <c r="A15" s="189">
        <v>10.0</v>
      </c>
      <c r="B15" s="190" t="s">
        <v>208</v>
      </c>
      <c r="C15" s="189" t="s">
        <v>178</v>
      </c>
      <c r="D15" s="189" t="s">
        <v>194</v>
      </c>
      <c r="E15" s="191" t="s">
        <v>212</v>
      </c>
      <c r="F15" s="199" t="s">
        <v>198</v>
      </c>
    </row>
    <row r="16" ht="19.5" customHeight="1">
      <c r="A16" s="181" t="s">
        <v>214</v>
      </c>
      <c r="B16" s="175"/>
      <c r="C16" s="175"/>
      <c r="D16" s="175"/>
      <c r="E16" s="175"/>
      <c r="F16" s="177"/>
    </row>
    <row r="17" ht="42.0" customHeight="1">
      <c r="A17" s="183">
        <v>11.0</v>
      </c>
      <c r="B17" s="184" t="s">
        <v>222</v>
      </c>
      <c r="C17" s="183" t="s">
        <v>224</v>
      </c>
      <c r="D17" s="183" t="s">
        <v>225</v>
      </c>
      <c r="E17" s="186" t="s">
        <v>227</v>
      </c>
      <c r="F17" s="187" t="s">
        <v>139</v>
      </c>
    </row>
    <row r="18" ht="42.0" customHeight="1">
      <c r="A18" s="189">
        <v>12.0</v>
      </c>
      <c r="B18" s="190" t="s">
        <v>230</v>
      </c>
      <c r="C18" s="189" t="s">
        <v>224</v>
      </c>
      <c r="D18" s="189" t="s">
        <v>232</v>
      </c>
      <c r="E18" s="191" t="s">
        <v>234</v>
      </c>
      <c r="F18" s="194" t="s">
        <v>169</v>
      </c>
    </row>
    <row r="19" ht="42.0" customHeight="1">
      <c r="A19" s="183">
        <v>13.0</v>
      </c>
      <c r="B19" s="184" t="s">
        <v>236</v>
      </c>
      <c r="C19" s="183" t="s">
        <v>224</v>
      </c>
      <c r="D19" s="183" t="s">
        <v>237</v>
      </c>
      <c r="E19" s="186" t="s">
        <v>238</v>
      </c>
      <c r="F19" s="194" t="s">
        <v>169</v>
      </c>
    </row>
    <row r="20" ht="42.0" customHeight="1">
      <c r="A20" s="189">
        <v>14.0</v>
      </c>
      <c r="B20" s="190" t="s">
        <v>239</v>
      </c>
      <c r="C20" s="189" t="s">
        <v>224</v>
      </c>
      <c r="D20" s="189" t="s">
        <v>243</v>
      </c>
      <c r="E20" s="191" t="s">
        <v>245</v>
      </c>
      <c r="F20" s="199" t="s">
        <v>198</v>
      </c>
    </row>
    <row r="21" ht="19.5" customHeight="1">
      <c r="A21" s="181" t="s">
        <v>249</v>
      </c>
      <c r="B21" s="175"/>
      <c r="C21" s="175"/>
      <c r="D21" s="175"/>
      <c r="E21" s="175"/>
      <c r="F21" s="177"/>
    </row>
    <row r="22" ht="42.0" customHeight="1">
      <c r="A22" s="183">
        <v>15.0</v>
      </c>
      <c r="B22" s="184" t="s">
        <v>258</v>
      </c>
      <c r="C22" s="183" t="s">
        <v>260</v>
      </c>
      <c r="D22" s="183" t="s">
        <v>261</v>
      </c>
      <c r="E22" s="186" t="s">
        <v>262</v>
      </c>
      <c r="F22" s="187" t="s">
        <v>139</v>
      </c>
    </row>
    <row r="23" ht="42.0" customHeight="1">
      <c r="A23" s="189">
        <v>16.0</v>
      </c>
      <c r="B23" s="190" t="s">
        <v>264</v>
      </c>
      <c r="C23" s="189" t="s">
        <v>266</v>
      </c>
      <c r="D23" s="189" t="s">
        <v>270</v>
      </c>
      <c r="E23" s="191" t="s">
        <v>271</v>
      </c>
      <c r="F23" s="194" t="s">
        <v>169</v>
      </c>
    </row>
    <row r="24" ht="42.0" customHeight="1">
      <c r="A24" s="183">
        <v>17.0</v>
      </c>
      <c r="B24" s="184" t="s">
        <v>275</v>
      </c>
      <c r="C24" s="183" t="s">
        <v>277</v>
      </c>
      <c r="D24" s="183" t="s">
        <v>279</v>
      </c>
      <c r="E24" s="186" t="s">
        <v>281</v>
      </c>
      <c r="F24" s="194" t="s">
        <v>169</v>
      </c>
    </row>
    <row r="25" ht="42.0" customHeight="1">
      <c r="A25" s="189">
        <v>18.0</v>
      </c>
      <c r="B25" s="190" t="s">
        <v>285</v>
      </c>
      <c r="C25" s="189" t="s">
        <v>266</v>
      </c>
      <c r="D25" s="189" t="s">
        <v>287</v>
      </c>
      <c r="E25" s="191" t="s">
        <v>288</v>
      </c>
      <c r="F25" s="199" t="s">
        <v>198</v>
      </c>
    </row>
    <row r="26" ht="19.5" customHeight="1">
      <c r="A26" s="181" t="s">
        <v>291</v>
      </c>
      <c r="B26" s="175"/>
      <c r="C26" s="175"/>
      <c r="D26" s="175"/>
      <c r="E26" s="175"/>
      <c r="F26" s="177"/>
    </row>
    <row r="27" ht="42.0" customHeight="1">
      <c r="A27" s="183">
        <v>19.0</v>
      </c>
      <c r="B27" s="184" t="s">
        <v>299</v>
      </c>
      <c r="C27" s="183" t="s">
        <v>301</v>
      </c>
      <c r="D27" s="183" t="s">
        <v>303</v>
      </c>
      <c r="E27" s="186" t="s">
        <v>306</v>
      </c>
      <c r="F27" s="199" t="s">
        <v>198</v>
      </c>
    </row>
    <row r="28" ht="42.0" customHeight="1">
      <c r="A28" s="189">
        <v>20.0</v>
      </c>
      <c r="B28" s="190" t="s">
        <v>309</v>
      </c>
      <c r="C28" s="189" t="s">
        <v>301</v>
      </c>
      <c r="D28" s="189" t="s">
        <v>311</v>
      </c>
      <c r="E28" s="191" t="s">
        <v>313</v>
      </c>
      <c r="F28" s="199" t="s">
        <v>198</v>
      </c>
    </row>
    <row r="29" ht="42.0" customHeight="1">
      <c r="A29" s="183">
        <v>21.0</v>
      </c>
      <c r="B29" s="184" t="s">
        <v>316</v>
      </c>
      <c r="C29" s="183" t="s">
        <v>318</v>
      </c>
      <c r="D29" s="183" t="s">
        <v>319</v>
      </c>
      <c r="E29" s="186" t="s">
        <v>320</v>
      </c>
      <c r="F29" s="199" t="s">
        <v>198</v>
      </c>
    </row>
    <row r="30" ht="19.5" customHeight="1">
      <c r="A30" s="181" t="s">
        <v>321</v>
      </c>
      <c r="B30" s="175"/>
      <c r="C30" s="175"/>
      <c r="D30" s="175"/>
      <c r="E30" s="175"/>
      <c r="F30" s="177"/>
    </row>
    <row r="31" ht="42.0" customHeight="1">
      <c r="A31" s="189">
        <v>22.0</v>
      </c>
      <c r="B31" s="190" t="s">
        <v>331</v>
      </c>
      <c r="C31" s="189" t="s">
        <v>334</v>
      </c>
      <c r="D31" s="189" t="s">
        <v>335</v>
      </c>
      <c r="E31" s="191" t="s">
        <v>337</v>
      </c>
      <c r="F31" s="194" t="s">
        <v>169</v>
      </c>
    </row>
    <row r="32" ht="42.0" customHeight="1">
      <c r="A32" s="183">
        <v>23.0</v>
      </c>
      <c r="B32" s="184" t="s">
        <v>340</v>
      </c>
      <c r="C32" s="183" t="s">
        <v>341</v>
      </c>
      <c r="D32" s="183" t="s">
        <v>343</v>
      </c>
      <c r="E32" s="186" t="s">
        <v>345</v>
      </c>
      <c r="F32" s="199" t="s">
        <v>198</v>
      </c>
    </row>
    <row r="33" ht="42.0" customHeight="1">
      <c r="A33" s="189">
        <v>24.0</v>
      </c>
      <c r="B33" s="190" t="s">
        <v>349</v>
      </c>
      <c r="C33" s="189" t="s">
        <v>351</v>
      </c>
      <c r="D33" s="189" t="s">
        <v>353</v>
      </c>
      <c r="E33" s="191" t="s">
        <v>355</v>
      </c>
      <c r="F33" s="199" t="s">
        <v>198</v>
      </c>
    </row>
    <row r="34"/>
    <row r="35" ht="18.0" customHeight="1">
      <c r="A35" s="211" t="s">
        <v>361</v>
      </c>
      <c r="B35" s="175"/>
      <c r="C35" s="175"/>
      <c r="D35" s="175"/>
      <c r="E35" s="175"/>
      <c r="F35" s="177"/>
    </row>
    <row r="36" ht="18.0" customHeight="1">
      <c r="A36" s="213" t="s">
        <v>380</v>
      </c>
      <c r="B36" s="216" t="s">
        <v>381</v>
      </c>
      <c r="C36" s="175"/>
      <c r="D36" s="175"/>
      <c r="E36" s="175"/>
      <c r="F36" s="177"/>
    </row>
    <row r="37" ht="18.0" customHeight="1">
      <c r="A37" s="219" t="s">
        <v>382</v>
      </c>
      <c r="B37" s="216" t="s">
        <v>383</v>
      </c>
      <c r="C37" s="175"/>
      <c r="D37" s="175"/>
      <c r="E37" s="175"/>
      <c r="F37" s="177"/>
    </row>
    <row r="38" ht="18.0" customHeight="1">
      <c r="A38" s="221" t="s">
        <v>384</v>
      </c>
      <c r="B38" s="216" t="s">
        <v>385</v>
      </c>
      <c r="C38" s="175"/>
      <c r="D38" s="175"/>
      <c r="E38" s="175"/>
      <c r="F38" s="177"/>
    </row>
    <row r="39"/>
    <row r="40" ht="39.75" customHeight="1">
      <c r="A40" s="224" t="s">
        <v>386</v>
      </c>
      <c r="B40" s="175"/>
      <c r="C40" s="175"/>
      <c r="D40" s="175"/>
      <c r="E40" s="175"/>
      <c r="F40" s="177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3">
    <mergeCell ref="A30:F30"/>
    <mergeCell ref="A35:F35"/>
    <mergeCell ref="B36:F36"/>
    <mergeCell ref="B37:F37"/>
    <mergeCell ref="B38:F38"/>
    <mergeCell ref="A40:F40"/>
    <mergeCell ref="A1:F1"/>
    <mergeCell ref="A2:F2"/>
    <mergeCell ref="A4:F4"/>
    <mergeCell ref="A10:F10"/>
    <mergeCell ref="A16:F16"/>
    <mergeCell ref="A21:F21"/>
    <mergeCell ref="A26:F26"/>
  </mergeCells>
  <printOptions/>
  <pageMargins bottom="1.0" footer="0.0" header="0.0" left="0.75" right="0.75" top="1.0"/>
  <pageSetup orientation="landscape"/>
  <drawing r:id="rId1"/>
</worksheet>
</file>